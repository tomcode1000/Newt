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Newt Pricing and Sales Inputs" sheetId="1" r:id="rId1"/>
    <sheet name="Newt Inputs" sheetId="2" r:id="rId2"/>
    <sheet name="Newt Cost per Customer" sheetId="3" r:id="rId3"/>
    <sheet name="Newt 12-Month Forecast" sheetId="4" r:id="rId4"/>
    <sheet name="Model input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;(&quot;$&quot;#,##0)"/>
    <numFmt numFmtId="165" formatCode="#,##0.###;(#,##0.###)"/>
    <numFmt numFmtId="166" formatCode="&quot;$&quot;#,##0.000;(&quot;$&quot;#,##0.000)"/>
    <numFmt numFmtId="167" formatCode="&quot;$&quot;#,##0.00;(&quot;$&quot;#,##0.00)"/>
    <numFmt numFmtId="168" formatCode="0.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6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G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Newt Pricing and Sales Inputs</t>
        </is>
      </c>
    </row>
    <row r="2" ht="20" customHeight="1">
      <c r="A2" t="inlineStr" s="2">
        <is>
          <t xml:space="preserve">Newt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Newt Monthly Price</t>
        </is>
      </c>
      <c r="C4" t="inlineStr" s="4">
        <is>
          <t xml:space="preserve">Newt Included Checks</t>
        </is>
      </c>
      <c r="D4" t="inlineStr" s="4">
        <is>
          <t xml:space="preserve">Newt Overage Price</t>
        </is>
      </c>
      <c r="E4" t="inlineStr" s="4">
        <is>
          <t xml:space="preserve">Newt Checks per Repository</t>
        </is>
      </c>
      <c r="F4" t="inlineStr" s="4">
        <is>
          <t xml:space="preserve">Newt New Repositories</t>
        </is>
      </c>
      <c r="G4" t="inlineStr" s="4">
        <is>
          <t xml:space="preserve">Newt Monthly Churn</t>
        </is>
      </c>
    </row>
    <row r="5">
      <c r="A5" t="inlineStr" s="5">
        <is>
          <t xml:space="preserve">Starter</t>
        </is>
      </c>
      <c r="B5" s="6">
        <f>49</f>
        <v>49</v>
      </c>
      <c r="C5" s="7">
        <f>100</f>
        <v>100</v>
      </c>
      <c r="D5" s="7">
        <f>0.3</f>
        <v>0.3</v>
      </c>
      <c r="E5" s="7">
        <f>100</f>
        <v>100</v>
      </c>
      <c r="F5" s="7">
        <f>3</f>
        <v>3</v>
      </c>
      <c r="G5" s="7">
        <f>0.03</f>
        <v>0.03</v>
      </c>
    </row>
    <row r="6">
      <c r="A6" t="inlineStr" s="8">
        <is>
          <t xml:space="preserve">Growth</t>
        </is>
      </c>
      <c r="B6" s="9">
        <f>149</f>
        <v>149</v>
      </c>
      <c r="C6" s="10">
        <f>500</f>
        <v>500</v>
      </c>
      <c r="D6" s="10">
        <f>0.25</f>
        <v>0.25</v>
      </c>
      <c r="E6" s="10">
        <f>400</f>
        <v>400</v>
      </c>
      <c r="F6" s="10">
        <f>1</f>
        <v>1</v>
      </c>
      <c r="G6" s="10">
        <f>0.03</f>
        <v>0.03</v>
      </c>
    </row>
    <row r="7">
      <c r="A7" t="inlineStr" s="5">
        <is>
          <t xml:space="preserve">Open source</t>
        </is>
      </c>
      <c r="B7" s="6">
        <f>0</f>
        <v>0</v>
      </c>
      <c r="C7" s="7">
        <f>30</f>
        <v>30</v>
      </c>
      <c r="D7" s="7">
        <f>0</f>
        <v>0</v>
      </c>
      <c r="E7" s="7">
        <f>30</f>
        <v>30</v>
      </c>
      <c r="F7" s="7">
        <f>5</f>
        <v>5</v>
      </c>
      <c r="G7" s="7">
        <f>0</f>
        <v>0</v>
      </c>
    </row>
  </sheetData>
  <mergeCells count="1">
    <mergeCell ref="A1:G1"/>
  </mergeCells>
</worksheet>
</file>

<file path=xl/worksheets/sheet2.xml><?xml version="1.0" encoding="utf-8"?>
<worksheet xmlns="http://schemas.openxmlformats.org/spreadsheetml/2006/main">
  <dimension ref="A1:B1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Newt Inputs</t>
        </is>
      </c>
    </row>
    <row r="2" ht="20" customHeight="1">
      <c r="A2" t="inlineStr" s="2">
        <is>
          <t xml:space="preserve">Newt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Newt Opening Cash</t>
        </is>
      </c>
      <c r="B5" s="7">
        <f>5000</f>
        <v>5000</v>
      </c>
    </row>
    <row r="6">
      <c r="A6" t="inlineStr" s="8">
        <is>
          <t xml:space="preserve">Newt Founder Draw</t>
        </is>
      </c>
      <c r="B6" s="10">
        <f>1500</f>
        <v>1500</v>
      </c>
    </row>
    <row r="7">
      <c r="A7" t="inlineStr" s="8">
        <is>
          <t xml:space="preserve">Newt Hosting</t>
        </is>
      </c>
      <c r="B7" s="10">
        <f>150</f>
        <v>150</v>
      </c>
    </row>
    <row r="8">
      <c r="A8" t="inlineStr" s="8">
        <is>
          <t xml:space="preserve">Newt Other Tools</t>
        </is>
      </c>
      <c r="B8" s="10">
        <f>100</f>
        <v>100</v>
      </c>
    </row>
    <row r="9">
      <c r="A9" t="inlineStr" s="8">
        <is>
          <t xml:space="preserve">Newt Payment Fee Rate</t>
        </is>
      </c>
      <c r="B9" s="10">
        <f>0.03</f>
        <v>0.03</v>
      </c>
    </row>
    <row r="10">
      <c r="A10" t="inlineStr" s="8">
        <is>
          <t xml:space="preserve">Newt Input Tokens per Check</t>
        </is>
      </c>
      <c r="B10" s="10">
        <f>10000</f>
        <v>10000</v>
      </c>
    </row>
    <row r="11">
      <c r="A11" t="inlineStr" s="8">
        <is>
          <t xml:space="preserve">Newt Output Tokens per Check</t>
        </is>
      </c>
      <c r="B11" s="10">
        <f>2000</f>
        <v>2000</v>
      </c>
    </row>
    <row r="12">
      <c r="A12" t="inlineStr" s="8">
        <is>
          <t xml:space="preserve">Newt Input Price per Million</t>
        </is>
      </c>
      <c r="B12" s="10">
        <f>3</f>
        <v>3</v>
      </c>
    </row>
    <row r="13">
      <c r="A13" t="inlineStr" s="8">
        <is>
          <t xml:space="preserve">Newt Output Price per Million</t>
        </is>
      </c>
      <c r="B13" s="10">
        <f>15</f>
        <v>15</v>
      </c>
    </row>
    <row r="14">
      <c r="A14" t="inlineStr" s="8">
        <is>
          <t xml:space="preserve">Newt Seconds per Check</t>
        </is>
      </c>
      <c r="B14" s="10">
        <f>30</f>
        <v>30</v>
      </c>
    </row>
    <row r="15">
      <c r="A15" t="inlineStr" s="8">
        <is>
          <t xml:space="preserve">Newt Computer Cost per Hour</t>
        </is>
      </c>
      <c r="B15" s="10">
        <f>0.12</f>
        <v>0.12</v>
      </c>
    </row>
    <row r="16">
      <c r="A16" t="inlineStr" s="8">
        <is>
          <t xml:space="preserve">Newt Retry and Log Allowance</t>
        </is>
      </c>
      <c r="B16" s="10">
        <f>0.039</f>
        <v>0.039</v>
      </c>
    </row>
    <row r="17">
      <c r="A17" t="inlineStr" s="5">
        <is>
          <t xml:space="preserve">Newt Cost per Check</t>
        </is>
      </c>
      <c r="B17" s="11">
        <f>'Newt Inputs'!B10*'Newt Inputs'!B12/1000000+'Newt Inputs'!B11*'Newt Inputs'!B13/1000000+'Newt Inputs'!B14*'Newt Inputs'!B15/3600+'Newt Inputs'!B16</f>
        <v>0.1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G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Newt Cost per Customer</t>
        </is>
      </c>
    </row>
    <row r="2" ht="20" customHeight="1">
      <c r="A2" t="inlineStr" s="2">
        <is>
          <t xml:space="preserve">Newt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Newt Monthly Price</t>
        </is>
      </c>
      <c r="C4" t="inlineStr" s="4">
        <is>
          <t xml:space="preserve">Newt Checks per Repository</t>
        </is>
      </c>
      <c r="D4" t="inlineStr" s="4">
        <is>
          <t xml:space="preserve">Newt Direct Cost per Customer</t>
        </is>
      </c>
      <c r="E4" t="inlineStr" s="4">
        <is>
          <t xml:space="preserve">Newt Contribution per Customer</t>
        </is>
      </c>
      <c r="F4" t="inlineStr" s="4">
        <is>
          <t xml:space="preserve">Newt Contribution Margin</t>
        </is>
      </c>
      <c r="G4" t="inlineStr" s="4">
        <is>
          <t xml:space="preserve">Newt Cost at Full Quota</t>
        </is>
      </c>
    </row>
    <row r="5">
      <c r="A5" t="inlineStr" s="5">
        <is>
          <t xml:space="preserve">Growth</t>
        </is>
      </c>
      <c r="B5" s="6">
        <f>'Newt Pricing and Sales Inputs'!B6</f>
        <v>149</v>
      </c>
      <c r="C5" s="7">
        <f>'Newt Pricing and Sales Inputs'!E6</f>
        <v>400</v>
      </c>
      <c r="D5" s="12">
        <f>'Newt Cost per Customer'!C5*'Newt Inputs'!B17+'Newt Cost per Customer'!B5*'Newt Inputs'!B9</f>
        <v>44.47</v>
      </c>
      <c r="E5" s="12">
        <f>'Newt Cost per Customer'!B5-'Newt Cost per Customer'!D5</f>
        <v>104.53</v>
      </c>
      <c r="F5" s="13">
        <f>IFERROR('Newt Cost per Customer'!E5/'Newt Cost per Customer'!B5,"")</f>
        <v>0.7015436241610739</v>
      </c>
      <c r="G5" s="12">
        <f>'Newt Pricing and Sales Inputs'!C6*'Newt Inputs'!B17+'Newt Cost per Customer'!B5*'Newt Inputs'!B9</f>
        <v>54.47</v>
      </c>
    </row>
    <row r="6">
      <c r="A6" t="inlineStr" s="8">
        <is>
          <t xml:space="preserve">Open source</t>
        </is>
      </c>
      <c r="B6" s="9">
        <f>'Newt Pricing and Sales Inputs'!B7</f>
        <v>0</v>
      </c>
      <c r="C6" s="10">
        <f>'Newt Pricing and Sales Inputs'!E7</f>
        <v>30</v>
      </c>
      <c r="D6" s="14">
        <f>'Newt Cost per Customer'!C6*'Newt Inputs'!B17+'Newt Cost per Customer'!B6*'Newt Inputs'!B9</f>
        <v>3</v>
      </c>
      <c r="E6" s="14">
        <f>'Newt Cost per Customer'!B6-'Newt Cost per Customer'!D6</f>
        <v>-3</v>
      </c>
      <c r="F6" t="str" s="15">
        <f>IFERROR('Newt Cost per Customer'!E6/'Newt Cost per Customer'!B6,"")</f>
        <v/>
      </c>
      <c r="G6" s="14">
        <f>'Newt Pricing and Sales Inputs'!C7*'Newt Inputs'!B17+'Newt Cost per Customer'!B6*'Newt Inputs'!B9</f>
        <v>3</v>
      </c>
    </row>
    <row r="7">
      <c r="A7" t="inlineStr" s="5">
        <is>
          <t xml:space="preserve">Starter</t>
        </is>
      </c>
      <c r="B7" s="6">
        <f>'Newt Pricing and Sales Inputs'!B5</f>
        <v>49</v>
      </c>
      <c r="C7" s="7">
        <f>'Newt Pricing and Sales Inputs'!E5</f>
        <v>100</v>
      </c>
      <c r="D7" s="12">
        <f>'Newt Cost per Customer'!C7*'Newt Inputs'!B17+'Newt Cost per Customer'!B7*'Newt Inputs'!B9</f>
        <v>11.47</v>
      </c>
      <c r="E7" s="12">
        <f>'Newt Cost per Customer'!B7-'Newt Cost per Customer'!D7</f>
        <v>37.53</v>
      </c>
      <c r="F7" s="13">
        <f>IFERROR('Newt Cost per Customer'!E7/'Newt Cost per Customer'!B7,"")</f>
        <v>0.7659183673469387</v>
      </c>
      <c r="G7" s="12">
        <f>'Newt Pricing and Sales Inputs'!C5*'Newt Inputs'!B17+'Newt Cost per Customer'!B7*'Newt Inputs'!B9</f>
        <v>11.47</v>
      </c>
    </row>
  </sheetData>
  <mergeCells count="1">
    <mergeCell ref="A1:G1"/>
  </mergeCells>
</worksheet>
</file>

<file path=xl/worksheets/sheet4.xml><?xml version="1.0" encoding="utf-8"?>
<worksheet xmlns="http://schemas.openxmlformats.org/spreadsheetml/2006/main">
  <dimension ref="A1:M2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Newt 12-Month Forecast</t>
        </is>
      </c>
    </row>
    <row r="2" ht="20" customHeight="1">
      <c r="A2" t="inlineStr" s="2">
        <is>
          <t xml:space="preserve">Newt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16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6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6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6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Newt Active Repositories</t>
        </is>
      </c>
      <c r="B5" s="7">
        <f>SUM('Newt 12-Month Forecast'!B6,'Newt 12-Month Forecast'!B7,'Newt 12-Month Forecast'!B8)</f>
        <v>9</v>
      </c>
      <c r="C5" s="7">
        <f>SUM('Newt 12-Month Forecast'!C6,'Newt 12-Month Forecast'!C7,'Newt 12-Month Forecast'!C8)</f>
        <v>17.880000000000003</v>
      </c>
      <c r="D5" s="7">
        <f>SUM('Newt 12-Month Forecast'!D6,'Newt 12-Month Forecast'!D7,'Newt 12-Month Forecast'!D8)</f>
        <v>26.6436</v>
      </c>
      <c r="E5" s="7">
        <f>SUM('Newt 12-Month Forecast'!E6,'Newt 12-Month Forecast'!E7,'Newt 12-Month Forecast'!E8)</f>
        <v>35.294292</v>
      </c>
      <c r="F5" s="7">
        <f>SUM('Newt 12-Month Forecast'!F6,'Newt 12-Month Forecast'!F7,'Newt 12-Month Forecast'!F8)</f>
        <v>43.835463239999996</v>
      </c>
      <c r="G5" s="7">
        <f>SUM('Newt 12-Month Forecast'!G6,'Newt 12-Month Forecast'!G7,'Newt 12-Month Forecast'!G8)</f>
        <v>52.2703993428</v>
      </c>
      <c r="H5" s="7">
        <f>SUM('Newt 12-Month Forecast'!H6,'Newt 12-Month Forecast'!H7,'Newt 12-Month Forecast'!H8)</f>
        <v>60.602287362515995</v>
      </c>
      <c r="I5" s="7">
        <f>SUM('Newt 12-Month Forecast'!I6,'Newt 12-Month Forecast'!I7,'Newt 12-Month Forecast'!I8)</f>
        <v>68.83421874164051</v>
      </c>
      <c r="J5" s="7">
        <f>SUM('Newt 12-Month Forecast'!J6,'Newt 12-Month Forecast'!J7,'Newt 12-Month Forecast'!J8)</f>
        <v>76.9691921793913</v>
      </c>
      <c r="K5" s="7">
        <f>SUM('Newt 12-Month Forecast'!K6,'Newt 12-Month Forecast'!K7,'Newt 12-Month Forecast'!K8)</f>
        <v>85.01011641400956</v>
      </c>
      <c r="L5" s="7">
        <f>SUM('Newt 12-Month Forecast'!L6,'Newt 12-Month Forecast'!L7,'Newt 12-Month Forecast'!L8)</f>
        <v>92.95981292158928</v>
      </c>
      <c r="M5" s="7">
        <f>SUM('Newt 12-Month Forecast'!M6,'Newt 12-Month Forecast'!M7,'Newt 12-Month Forecast'!M8)</f>
        <v>100.82101853394158</v>
      </c>
    </row>
    <row r="6" outlineLevel="1">
      <c r="A6" t="inlineStr" s="17">
        <is>
          <t xml:space="preserve">Growth</t>
        </is>
      </c>
      <c r="B6" s="10">
        <f>'Model inputs'!B7*(1-'Newt Pricing and Sales Inputs'!G6)+'Newt Pricing and Sales Inputs'!F6</f>
        <v>1</v>
      </c>
      <c r="C6" s="10">
        <f>'Newt 12-Month Forecast'!B6*(1-'Newt Pricing and Sales Inputs'!G6)+'Newt Pricing and Sales Inputs'!F6</f>
        <v>1.97</v>
      </c>
      <c r="D6" s="10">
        <f>'Newt 12-Month Forecast'!C6*(1-'Newt Pricing and Sales Inputs'!G6)+'Newt Pricing and Sales Inputs'!F6</f>
        <v>2.9109</v>
      </c>
      <c r="E6" s="10">
        <f>'Newt 12-Month Forecast'!D6*(1-'Newt Pricing and Sales Inputs'!G6)+'Newt Pricing and Sales Inputs'!F6</f>
        <v>3.8235729999999997</v>
      </c>
      <c r="F6" s="10">
        <f>'Newt 12-Month Forecast'!E6*(1-'Newt Pricing and Sales Inputs'!G6)+'Newt Pricing and Sales Inputs'!F6</f>
        <v>4.708865809999999</v>
      </c>
      <c r="G6" s="10">
        <f>'Newt 12-Month Forecast'!F6*(1-'Newt Pricing and Sales Inputs'!G6)+'Newt Pricing and Sales Inputs'!F6</f>
        <v>5.5675998356999985</v>
      </c>
      <c r="H6" s="10">
        <f>'Newt 12-Month Forecast'!G6*(1-'Newt Pricing and Sales Inputs'!G6)+'Newt Pricing and Sales Inputs'!F6</f>
        <v>6.400571840628999</v>
      </c>
      <c r="I6" s="10">
        <f>'Newt 12-Month Forecast'!H6*(1-'Newt Pricing and Sales Inputs'!G6)+'Newt Pricing and Sales Inputs'!F6</f>
        <v>7.208554685410128</v>
      </c>
      <c r="J6" s="10">
        <f>'Newt 12-Month Forecast'!I6*(1-'Newt Pricing and Sales Inputs'!G6)+'Newt Pricing and Sales Inputs'!F6</f>
        <v>7.992298044847824</v>
      </c>
      <c r="K6" s="10">
        <f>'Newt 12-Month Forecast'!J6*(1-'Newt Pricing and Sales Inputs'!G6)+'Newt Pricing and Sales Inputs'!F6</f>
        <v>8.75252910350239</v>
      </c>
      <c r="L6" s="10">
        <f>'Newt 12-Month Forecast'!K6*(1-'Newt Pricing and Sales Inputs'!G6)+'Newt Pricing and Sales Inputs'!F6</f>
        <v>9.489953230397317</v>
      </c>
      <c r="M6" s="10">
        <f>'Newt 12-Month Forecast'!L6*(1-'Newt Pricing and Sales Inputs'!G6)+'Newt Pricing and Sales Inputs'!F6</f>
        <v>10.205254633485398</v>
      </c>
    </row>
    <row r="7" outlineLevel="1">
      <c r="A7" t="inlineStr" s="17">
        <is>
          <t xml:space="preserve">Open source</t>
        </is>
      </c>
      <c r="B7" s="10">
        <f>'Model inputs'!B8*(1-'Newt Pricing and Sales Inputs'!G7)+'Newt Pricing and Sales Inputs'!F7</f>
        <v>5</v>
      </c>
      <c r="C7" s="10">
        <f>'Newt 12-Month Forecast'!B7*(1-'Newt Pricing and Sales Inputs'!G7)+'Newt Pricing and Sales Inputs'!F7</f>
        <v>10</v>
      </c>
      <c r="D7" s="10">
        <f>'Newt 12-Month Forecast'!C7*(1-'Newt Pricing and Sales Inputs'!G7)+'Newt Pricing and Sales Inputs'!F7</f>
        <v>15</v>
      </c>
      <c r="E7" s="10">
        <f>'Newt 12-Month Forecast'!D7*(1-'Newt Pricing and Sales Inputs'!G7)+'Newt Pricing and Sales Inputs'!F7</f>
        <v>20</v>
      </c>
      <c r="F7" s="10">
        <f>'Newt 12-Month Forecast'!E7*(1-'Newt Pricing and Sales Inputs'!G7)+'Newt Pricing and Sales Inputs'!F7</f>
        <v>25</v>
      </c>
      <c r="G7" s="10">
        <f>'Newt 12-Month Forecast'!F7*(1-'Newt Pricing and Sales Inputs'!G7)+'Newt Pricing and Sales Inputs'!F7</f>
        <v>30</v>
      </c>
      <c r="H7" s="10">
        <f>'Newt 12-Month Forecast'!G7*(1-'Newt Pricing and Sales Inputs'!G7)+'Newt Pricing and Sales Inputs'!F7</f>
        <v>35</v>
      </c>
      <c r="I7" s="10">
        <f>'Newt 12-Month Forecast'!H7*(1-'Newt Pricing and Sales Inputs'!G7)+'Newt Pricing and Sales Inputs'!F7</f>
        <v>40</v>
      </c>
      <c r="J7" s="10">
        <f>'Newt 12-Month Forecast'!I7*(1-'Newt Pricing and Sales Inputs'!G7)+'Newt Pricing and Sales Inputs'!F7</f>
        <v>45</v>
      </c>
      <c r="K7" s="10">
        <f>'Newt 12-Month Forecast'!J7*(1-'Newt Pricing and Sales Inputs'!G7)+'Newt Pricing and Sales Inputs'!F7</f>
        <v>50</v>
      </c>
      <c r="L7" s="10">
        <f>'Newt 12-Month Forecast'!K7*(1-'Newt Pricing and Sales Inputs'!G7)+'Newt Pricing and Sales Inputs'!F7</f>
        <v>55</v>
      </c>
      <c r="M7" s="10">
        <f>'Newt 12-Month Forecast'!L7*(1-'Newt Pricing and Sales Inputs'!G7)+'Newt Pricing and Sales Inputs'!F7</f>
        <v>60</v>
      </c>
    </row>
    <row r="8" outlineLevel="1">
      <c r="A8" t="inlineStr" s="17">
        <is>
          <t xml:space="preserve">Starter</t>
        </is>
      </c>
      <c r="B8" s="10">
        <f>'Model inputs'!B9*(1-'Newt Pricing and Sales Inputs'!G5)+'Newt Pricing and Sales Inputs'!F5</f>
        <v>3</v>
      </c>
      <c r="C8" s="10">
        <f>'Newt 12-Month Forecast'!B8*(1-'Newt Pricing and Sales Inputs'!G5)+'Newt Pricing and Sales Inputs'!F5</f>
        <v>5.91</v>
      </c>
      <c r="D8" s="10">
        <f>'Newt 12-Month Forecast'!C8*(1-'Newt Pricing and Sales Inputs'!G5)+'Newt Pricing and Sales Inputs'!F5</f>
        <v>8.732700000000001</v>
      </c>
      <c r="E8" s="10">
        <f>'Newt 12-Month Forecast'!D8*(1-'Newt Pricing and Sales Inputs'!G5)+'Newt Pricing and Sales Inputs'!F5</f>
        <v>11.470719</v>
      </c>
      <c r="F8" s="10">
        <f>'Newt 12-Month Forecast'!E8*(1-'Newt Pricing and Sales Inputs'!G5)+'Newt Pricing and Sales Inputs'!F5</f>
        <v>14.12659743</v>
      </c>
      <c r="G8" s="10">
        <f>'Newt 12-Month Forecast'!F8*(1-'Newt Pricing and Sales Inputs'!G5)+'Newt Pricing and Sales Inputs'!F5</f>
        <v>16.7027995071</v>
      </c>
      <c r="H8" s="10">
        <f>'Newt 12-Month Forecast'!G8*(1-'Newt Pricing and Sales Inputs'!G5)+'Newt Pricing and Sales Inputs'!F5</f>
        <v>19.201715521887</v>
      </c>
      <c r="I8" s="10">
        <f>'Newt 12-Month Forecast'!H8*(1-'Newt Pricing and Sales Inputs'!G5)+'Newt Pricing and Sales Inputs'!F5</f>
        <v>21.625664056230388</v>
      </c>
      <c r="J8" s="10">
        <f>'Newt 12-Month Forecast'!I8*(1-'Newt Pricing and Sales Inputs'!G5)+'Newt Pricing and Sales Inputs'!F5</f>
        <v>23.976894134543475</v>
      </c>
      <c r="K8" s="10">
        <f>'Newt 12-Month Forecast'!J8*(1-'Newt Pricing and Sales Inputs'!G5)+'Newt Pricing and Sales Inputs'!F5</f>
        <v>26.25758731050717</v>
      </c>
      <c r="L8" s="10">
        <f>'Newt 12-Month Forecast'!K8*(1-'Newt Pricing and Sales Inputs'!G5)+'Newt Pricing and Sales Inputs'!F5</f>
        <v>28.469859691191953</v>
      </c>
      <c r="M8" s="10">
        <f>'Newt 12-Month Forecast'!L8*(1-'Newt Pricing and Sales Inputs'!G5)+'Newt Pricing and Sales Inputs'!F5</f>
        <v>30.615763900456194</v>
      </c>
    </row>
    <row r="9">
      <c r="A9" t="inlineStr" s="5">
        <is>
          <t xml:space="preserve">Newt Revenue</t>
        </is>
      </c>
      <c r="B9" s="6">
        <f>SUM('Newt 12-Month Forecast'!B10,'Newt 12-Month Forecast'!B11,'Newt 12-Month Forecast'!B12)</f>
        <v>296</v>
      </c>
      <c r="C9" s="6">
        <f>SUM('Newt 12-Month Forecast'!C10,'Newt 12-Month Forecast'!C11,'Newt 12-Month Forecast'!C12)</f>
        <v>583.12</v>
      </c>
      <c r="D9" s="6">
        <f>SUM('Newt 12-Month Forecast'!D10,'Newt 12-Month Forecast'!D11,'Newt 12-Month Forecast'!D12)</f>
        <v>861.6264000000001</v>
      </c>
      <c r="E9" s="6">
        <f>SUM('Newt 12-Month Forecast'!E10,'Newt 12-Month Forecast'!E11,'Newt 12-Month Forecast'!E12)</f>
        <v>1131.7776079999999</v>
      </c>
      <c r="F9" s="6">
        <f>SUM('Newt 12-Month Forecast'!F10,'Newt 12-Month Forecast'!F11,'Newt 12-Month Forecast'!F12)</f>
        <v>1393.8242797599999</v>
      </c>
      <c r="G9" s="6">
        <f>SUM('Newt 12-Month Forecast'!G10,'Newt 12-Month Forecast'!G11,'Newt 12-Month Forecast'!G12)</f>
        <v>1648.0095513671997</v>
      </c>
      <c r="H9" s="6">
        <f>SUM('Newt 12-Month Forecast'!H10,'Newt 12-Month Forecast'!H11,'Newt 12-Month Forecast'!H12)</f>
        <v>1894.5692648261838</v>
      </c>
      <c r="I9" s="6">
        <f>SUM('Newt 12-Month Forecast'!I10,'Newt 12-Month Forecast'!I11,'Newt 12-Month Forecast'!I12)</f>
        <v>2133.732186881398</v>
      </c>
      <c r="J9" s="6">
        <f>SUM('Newt 12-Month Forecast'!J10,'Newt 12-Month Forecast'!J11,'Newt 12-Month Forecast'!J12)</f>
        <v>2365.720221274956</v>
      </c>
      <c r="K9" s="6">
        <f>SUM('Newt 12-Month Forecast'!K10,'Newt 12-Month Forecast'!K11,'Newt 12-Month Forecast'!K12)</f>
        <v>2590.7486146367073</v>
      </c>
      <c r="L9" s="6">
        <f>SUM('Newt 12-Month Forecast'!L10,'Newt 12-Month Forecast'!L11,'Newt 12-Month Forecast'!L12)</f>
        <v>2809.026156197606</v>
      </c>
      <c r="M9" s="6">
        <f>SUM('Newt 12-Month Forecast'!M10,'Newt 12-Month Forecast'!M11,'Newt 12-Month Forecast'!M12)</f>
        <v>3020.755371511678</v>
      </c>
    </row>
    <row r="10" outlineLevel="1">
      <c r="A10" t="inlineStr" s="17">
        <is>
          <t xml:space="preserve">Growth</t>
        </is>
      </c>
      <c r="B10" s="9">
        <f>'Newt 12-Month Forecast'!B6*('Newt Pricing and Sales Inputs'!B6+MAX(0,'Newt Pricing and Sales Inputs'!E6-'Newt Pricing and Sales Inputs'!C6)*'Newt Pricing and Sales Inputs'!D6)</f>
        <v>149</v>
      </c>
      <c r="C10" s="9">
        <f>'Newt 12-Month Forecast'!C6*('Newt Pricing and Sales Inputs'!B6+MAX(0,'Newt Pricing and Sales Inputs'!E6-'Newt Pricing and Sales Inputs'!C6)*'Newt Pricing and Sales Inputs'!D6)</f>
        <v>293.53</v>
      </c>
      <c r="D10" s="9">
        <f>'Newt 12-Month Forecast'!D6*('Newt Pricing and Sales Inputs'!B6+MAX(0,'Newt Pricing and Sales Inputs'!E6-'Newt Pricing and Sales Inputs'!C6)*'Newt Pricing and Sales Inputs'!D6)</f>
        <v>433.72409999999996</v>
      </c>
      <c r="E10" s="9">
        <f>'Newt 12-Month Forecast'!E6*('Newt Pricing and Sales Inputs'!B6+MAX(0,'Newt Pricing and Sales Inputs'!E6-'Newt Pricing and Sales Inputs'!C6)*'Newt Pricing and Sales Inputs'!D6)</f>
        <v>569.712377</v>
      </c>
      <c r="F10" s="9">
        <f>'Newt 12-Month Forecast'!F6*('Newt Pricing and Sales Inputs'!B6+MAX(0,'Newt Pricing and Sales Inputs'!E6-'Newt Pricing and Sales Inputs'!C6)*'Newt Pricing and Sales Inputs'!D6)</f>
        <v>701.6210056899998</v>
      </c>
      <c r="G10" s="9">
        <f>'Newt 12-Month Forecast'!G6*('Newt Pricing and Sales Inputs'!B6+MAX(0,'Newt Pricing and Sales Inputs'!E6-'Newt Pricing and Sales Inputs'!C6)*'Newt Pricing and Sales Inputs'!D6)</f>
        <v>829.5723755192997</v>
      </c>
      <c r="H10" s="9">
        <f>'Newt 12-Month Forecast'!H6*('Newt Pricing and Sales Inputs'!B6+MAX(0,'Newt Pricing and Sales Inputs'!E6-'Newt Pricing and Sales Inputs'!C6)*'Newt Pricing and Sales Inputs'!D6)</f>
        <v>953.6852042537208</v>
      </c>
      <c r="I10" s="9">
        <f>'Newt 12-Month Forecast'!I6*('Newt Pricing and Sales Inputs'!B6+MAX(0,'Newt Pricing and Sales Inputs'!E6-'Newt Pricing and Sales Inputs'!C6)*'Newt Pricing and Sales Inputs'!D6)</f>
        <v>1074.0746481261092</v>
      </c>
      <c r="J10" s="9">
        <f>'Newt 12-Month Forecast'!J6*('Newt Pricing and Sales Inputs'!B6+MAX(0,'Newt Pricing and Sales Inputs'!E6-'Newt Pricing and Sales Inputs'!C6)*'Newt Pricing and Sales Inputs'!D6)</f>
        <v>1190.8524086823259</v>
      </c>
      <c r="K10" s="9">
        <f>'Newt 12-Month Forecast'!K6*('Newt Pricing and Sales Inputs'!B6+MAX(0,'Newt Pricing and Sales Inputs'!E6-'Newt Pricing and Sales Inputs'!C6)*'Newt Pricing and Sales Inputs'!D6)</f>
        <v>1304.126836421856</v>
      </c>
      <c r="L10" s="9">
        <f>'Newt 12-Month Forecast'!L6*('Newt Pricing and Sales Inputs'!B6+MAX(0,'Newt Pricing and Sales Inputs'!E6-'Newt Pricing and Sales Inputs'!C6)*'Newt Pricing and Sales Inputs'!D6)</f>
        <v>1414.0030313292002</v>
      </c>
      <c r="M10" s="9">
        <f>'Newt 12-Month Forecast'!M6*('Newt Pricing and Sales Inputs'!B6+MAX(0,'Newt Pricing and Sales Inputs'!E6-'Newt Pricing and Sales Inputs'!C6)*'Newt Pricing and Sales Inputs'!D6)</f>
        <v>1520.5829403893242</v>
      </c>
    </row>
    <row r="11" outlineLevel="1">
      <c r="A11" t="inlineStr" s="17">
        <is>
          <t xml:space="preserve">Open source</t>
        </is>
      </c>
      <c r="B11" s="9">
        <f>'Newt 12-Month Forecast'!B7*('Newt Pricing and Sales Inputs'!B7+MAX(0,'Newt Pricing and Sales Inputs'!E7-'Newt Pricing and Sales Inputs'!C7)*'Newt Pricing and Sales Inputs'!D7)</f>
        <v>0</v>
      </c>
      <c r="C11" s="9">
        <f>'Newt 12-Month Forecast'!C7*('Newt Pricing and Sales Inputs'!B7+MAX(0,'Newt Pricing and Sales Inputs'!E7-'Newt Pricing and Sales Inputs'!C7)*'Newt Pricing and Sales Inputs'!D7)</f>
        <v>0</v>
      </c>
      <c r="D11" s="9">
        <f>'Newt 12-Month Forecast'!D7*('Newt Pricing and Sales Inputs'!B7+MAX(0,'Newt Pricing and Sales Inputs'!E7-'Newt Pricing and Sales Inputs'!C7)*'Newt Pricing and Sales Inputs'!D7)</f>
        <v>0</v>
      </c>
      <c r="E11" s="9">
        <f>'Newt 12-Month Forecast'!E7*('Newt Pricing and Sales Inputs'!B7+MAX(0,'Newt Pricing and Sales Inputs'!E7-'Newt Pricing and Sales Inputs'!C7)*'Newt Pricing and Sales Inputs'!D7)</f>
        <v>0</v>
      </c>
      <c r="F11" s="9">
        <f>'Newt 12-Month Forecast'!F7*('Newt Pricing and Sales Inputs'!B7+MAX(0,'Newt Pricing and Sales Inputs'!E7-'Newt Pricing and Sales Inputs'!C7)*'Newt Pricing and Sales Inputs'!D7)</f>
        <v>0</v>
      </c>
      <c r="G11" s="9">
        <f>'Newt 12-Month Forecast'!G7*('Newt Pricing and Sales Inputs'!B7+MAX(0,'Newt Pricing and Sales Inputs'!E7-'Newt Pricing and Sales Inputs'!C7)*'Newt Pricing and Sales Inputs'!D7)</f>
        <v>0</v>
      </c>
      <c r="H11" s="9">
        <f>'Newt 12-Month Forecast'!H7*('Newt Pricing and Sales Inputs'!B7+MAX(0,'Newt Pricing and Sales Inputs'!E7-'Newt Pricing and Sales Inputs'!C7)*'Newt Pricing and Sales Inputs'!D7)</f>
        <v>0</v>
      </c>
      <c r="I11" s="9">
        <f>'Newt 12-Month Forecast'!I7*('Newt Pricing and Sales Inputs'!B7+MAX(0,'Newt Pricing and Sales Inputs'!E7-'Newt Pricing and Sales Inputs'!C7)*'Newt Pricing and Sales Inputs'!D7)</f>
        <v>0</v>
      </c>
      <c r="J11" s="9">
        <f>'Newt 12-Month Forecast'!J7*('Newt Pricing and Sales Inputs'!B7+MAX(0,'Newt Pricing and Sales Inputs'!E7-'Newt Pricing and Sales Inputs'!C7)*'Newt Pricing and Sales Inputs'!D7)</f>
        <v>0</v>
      </c>
      <c r="K11" s="9">
        <f>'Newt 12-Month Forecast'!K7*('Newt Pricing and Sales Inputs'!B7+MAX(0,'Newt Pricing and Sales Inputs'!E7-'Newt Pricing and Sales Inputs'!C7)*'Newt Pricing and Sales Inputs'!D7)</f>
        <v>0</v>
      </c>
      <c r="L11" s="9">
        <f>'Newt 12-Month Forecast'!L7*('Newt Pricing and Sales Inputs'!B7+MAX(0,'Newt Pricing and Sales Inputs'!E7-'Newt Pricing and Sales Inputs'!C7)*'Newt Pricing and Sales Inputs'!D7)</f>
        <v>0</v>
      </c>
      <c r="M11" s="9">
        <f>'Newt 12-Month Forecast'!M7*('Newt Pricing and Sales Inputs'!B7+MAX(0,'Newt Pricing and Sales Inputs'!E7-'Newt Pricing and Sales Inputs'!C7)*'Newt Pricing and Sales Inputs'!D7)</f>
        <v>0</v>
      </c>
    </row>
    <row r="12" outlineLevel="1">
      <c r="A12" t="inlineStr" s="17">
        <is>
          <t xml:space="preserve">Starter</t>
        </is>
      </c>
      <c r="B12" s="9">
        <f>'Newt 12-Month Forecast'!B8*('Newt Pricing and Sales Inputs'!B5+MAX(0,'Newt Pricing and Sales Inputs'!E5-'Newt Pricing and Sales Inputs'!C5)*'Newt Pricing and Sales Inputs'!D5)</f>
        <v>147</v>
      </c>
      <c r="C12" s="9">
        <f>'Newt 12-Month Forecast'!C8*('Newt Pricing and Sales Inputs'!B5+MAX(0,'Newt Pricing and Sales Inputs'!E5-'Newt Pricing and Sales Inputs'!C5)*'Newt Pricing and Sales Inputs'!D5)</f>
        <v>289.59000000000003</v>
      </c>
      <c r="D12" s="9">
        <f>'Newt 12-Month Forecast'!D8*('Newt Pricing and Sales Inputs'!B5+MAX(0,'Newt Pricing and Sales Inputs'!E5-'Newt Pricing and Sales Inputs'!C5)*'Newt Pricing and Sales Inputs'!D5)</f>
        <v>427.9023000000001</v>
      </c>
      <c r="E12" s="9">
        <f>'Newt 12-Month Forecast'!E8*('Newt Pricing and Sales Inputs'!B5+MAX(0,'Newt Pricing and Sales Inputs'!E5-'Newt Pricing and Sales Inputs'!C5)*'Newt Pricing and Sales Inputs'!D5)</f>
        <v>562.065231</v>
      </c>
      <c r="F12" s="9">
        <f>'Newt 12-Month Forecast'!F8*('Newt Pricing and Sales Inputs'!B5+MAX(0,'Newt Pricing and Sales Inputs'!E5-'Newt Pricing and Sales Inputs'!C5)*'Newt Pricing and Sales Inputs'!D5)</f>
        <v>692.20327407</v>
      </c>
      <c r="G12" s="9">
        <f>'Newt 12-Month Forecast'!G8*('Newt Pricing and Sales Inputs'!B5+MAX(0,'Newt Pricing and Sales Inputs'!E5-'Newt Pricing and Sales Inputs'!C5)*'Newt Pricing and Sales Inputs'!D5)</f>
        <v>818.4371758479</v>
      </c>
      <c r="H12" s="9">
        <f>'Newt 12-Month Forecast'!H8*('Newt Pricing and Sales Inputs'!B5+MAX(0,'Newt Pricing and Sales Inputs'!E5-'Newt Pricing and Sales Inputs'!C5)*'Newt Pricing and Sales Inputs'!D5)</f>
        <v>940.884060572463</v>
      </c>
      <c r="I12" s="9">
        <f>'Newt 12-Month Forecast'!I8*('Newt Pricing and Sales Inputs'!B5+MAX(0,'Newt Pricing and Sales Inputs'!E5-'Newt Pricing and Sales Inputs'!C5)*'Newt Pricing and Sales Inputs'!D5)</f>
        <v>1059.657538755289</v>
      </c>
      <c r="J12" s="9">
        <f>'Newt 12-Month Forecast'!J8*('Newt Pricing and Sales Inputs'!B5+MAX(0,'Newt Pricing and Sales Inputs'!E5-'Newt Pricing and Sales Inputs'!C5)*'Newt Pricing and Sales Inputs'!D5)</f>
        <v>1174.8678125926303</v>
      </c>
      <c r="K12" s="9">
        <f>'Newt 12-Month Forecast'!K8*('Newt Pricing and Sales Inputs'!B5+MAX(0,'Newt Pricing and Sales Inputs'!E5-'Newt Pricing and Sales Inputs'!C5)*'Newt Pricing and Sales Inputs'!D5)</f>
        <v>1286.6217782148512</v>
      </c>
      <c r="L12" s="9">
        <f>'Newt 12-Month Forecast'!L8*('Newt Pricing and Sales Inputs'!B5+MAX(0,'Newt Pricing and Sales Inputs'!E5-'Newt Pricing and Sales Inputs'!C5)*'Newt Pricing and Sales Inputs'!D5)</f>
        <v>1395.0231248684056</v>
      </c>
      <c r="M12" s="9">
        <f>'Newt 12-Month Forecast'!M8*('Newt Pricing and Sales Inputs'!B5+MAX(0,'Newt Pricing and Sales Inputs'!E5-'Newt Pricing and Sales Inputs'!C5)*'Newt Pricing and Sales Inputs'!D5)</f>
        <v>1500.1724311223536</v>
      </c>
    </row>
    <row r="13">
      <c r="A13" t="inlineStr" s="5">
        <is>
          <t xml:space="preserve">Newt Page Checks</t>
        </is>
      </c>
      <c r="B13" s="7">
        <f>SUM('Newt 12-Month Forecast'!B14,'Newt 12-Month Forecast'!B15,'Newt 12-Month Forecast'!B16)</f>
        <v>850</v>
      </c>
      <c r="C13" s="7">
        <f>SUM('Newt 12-Month Forecast'!C14,'Newt 12-Month Forecast'!C15,'Newt 12-Month Forecast'!C16)</f>
        <v>1679</v>
      </c>
      <c r="D13" s="7">
        <f>SUM('Newt 12-Month Forecast'!D14,'Newt 12-Month Forecast'!D15,'Newt 12-Month Forecast'!D16)</f>
        <v>2487.63</v>
      </c>
      <c r="E13" s="7">
        <f>SUM('Newt 12-Month Forecast'!E14,'Newt 12-Month Forecast'!E15,'Newt 12-Month Forecast'!E16)</f>
        <v>3276.5011</v>
      </c>
      <c r="F13" s="7">
        <f>SUM('Newt 12-Month Forecast'!F14,'Newt 12-Month Forecast'!F15,'Newt 12-Month Forecast'!F16)</f>
        <v>4046.206066999999</v>
      </c>
      <c r="G13" s="7">
        <f>SUM('Newt 12-Month Forecast'!G14,'Newt 12-Month Forecast'!G15,'Newt 12-Month Forecast'!G16)</f>
        <v>4797.319884989999</v>
      </c>
      <c r="H13" s="7">
        <f>SUM('Newt 12-Month Forecast'!H14,'Newt 12-Month Forecast'!H15,'Newt 12-Month Forecast'!H16)</f>
        <v>5530.4002884403</v>
      </c>
      <c r="I13" s="7">
        <f>SUM('Newt 12-Month Forecast'!I14,'Newt 12-Month Forecast'!I15,'Newt 12-Month Forecast'!I16)</f>
        <v>6245.9882797870905</v>
      </c>
      <c r="J13" s="7">
        <f>SUM('Newt 12-Month Forecast'!J14,'Newt 12-Month Forecast'!J15,'Newt 12-Month Forecast'!J16)</f>
        <v>6944.6086313934775</v>
      </c>
      <c r="K13" s="7">
        <f>SUM('Newt 12-Month Forecast'!K14,'Newt 12-Month Forecast'!K15,'Newt 12-Month Forecast'!K16)</f>
        <v>7626.770372451672</v>
      </c>
      <c r="L13" s="7">
        <f>SUM('Newt 12-Month Forecast'!L14,'Newt 12-Month Forecast'!L15,'Newt 12-Month Forecast'!L16)</f>
        <v>8292.967261278121</v>
      </c>
      <c r="M13" s="7">
        <f>SUM('Newt 12-Month Forecast'!M14,'Newt 12-Month Forecast'!M15,'Newt 12-Month Forecast'!M16)</f>
        <v>8943.67824343978</v>
      </c>
    </row>
    <row r="14" outlineLevel="1">
      <c r="A14" t="inlineStr" s="17">
        <is>
          <t xml:space="preserve">Growth</t>
        </is>
      </c>
      <c r="B14" s="10">
        <f>'Newt 12-Month Forecast'!B6*'Newt Pricing and Sales Inputs'!E6</f>
        <v>400</v>
      </c>
      <c r="C14" s="10">
        <f>'Newt 12-Month Forecast'!C6*'Newt Pricing and Sales Inputs'!E6</f>
        <v>788</v>
      </c>
      <c r="D14" s="10">
        <f>'Newt 12-Month Forecast'!D6*'Newt Pricing and Sales Inputs'!E6</f>
        <v>1164.36</v>
      </c>
      <c r="E14" s="10">
        <f>'Newt 12-Month Forecast'!E6*'Newt Pricing and Sales Inputs'!E6</f>
        <v>1529.4291999999998</v>
      </c>
      <c r="F14" s="10">
        <f>'Newt 12-Month Forecast'!F6*'Newt Pricing and Sales Inputs'!E6</f>
        <v>1883.5463239999995</v>
      </c>
      <c r="G14" s="10">
        <f>'Newt 12-Month Forecast'!G6*'Newt Pricing and Sales Inputs'!E6</f>
        <v>2227.039934279999</v>
      </c>
      <c r="H14" s="10">
        <f>'Newt 12-Month Forecast'!H6*'Newt Pricing and Sales Inputs'!E6</f>
        <v>2560.2287362515995</v>
      </c>
      <c r="I14" s="10">
        <f>'Newt 12-Month Forecast'!I6*'Newt Pricing and Sales Inputs'!E6</f>
        <v>2883.421874164051</v>
      </c>
      <c r="J14" s="10">
        <f>'Newt 12-Month Forecast'!J6*'Newt Pricing and Sales Inputs'!E6</f>
        <v>3196.91921793913</v>
      </c>
      <c r="K14" s="10">
        <f>'Newt 12-Month Forecast'!K6*'Newt Pricing and Sales Inputs'!E6</f>
        <v>3501.011641400956</v>
      </c>
      <c r="L14" s="10">
        <f>'Newt 12-Month Forecast'!L6*'Newt Pricing and Sales Inputs'!E6</f>
        <v>3795.981292158927</v>
      </c>
      <c r="M14" s="10">
        <f>'Newt 12-Month Forecast'!M6*'Newt Pricing and Sales Inputs'!E6</f>
        <v>4082.101853394159</v>
      </c>
    </row>
    <row r="15" outlineLevel="1">
      <c r="A15" t="inlineStr" s="17">
        <is>
          <t xml:space="preserve">Open source</t>
        </is>
      </c>
      <c r="B15" s="10">
        <f>'Newt 12-Month Forecast'!B7*'Newt Pricing and Sales Inputs'!E7</f>
        <v>150</v>
      </c>
      <c r="C15" s="10">
        <f>'Newt 12-Month Forecast'!C7*'Newt Pricing and Sales Inputs'!E7</f>
        <v>300</v>
      </c>
      <c r="D15" s="10">
        <f>'Newt 12-Month Forecast'!D7*'Newt Pricing and Sales Inputs'!E7</f>
        <v>450</v>
      </c>
      <c r="E15" s="10">
        <f>'Newt 12-Month Forecast'!E7*'Newt Pricing and Sales Inputs'!E7</f>
        <v>600</v>
      </c>
      <c r="F15" s="10">
        <f>'Newt 12-Month Forecast'!F7*'Newt Pricing and Sales Inputs'!E7</f>
        <v>750</v>
      </c>
      <c r="G15" s="10">
        <f>'Newt 12-Month Forecast'!G7*'Newt Pricing and Sales Inputs'!E7</f>
        <v>900</v>
      </c>
      <c r="H15" s="10">
        <f>'Newt 12-Month Forecast'!H7*'Newt Pricing and Sales Inputs'!E7</f>
        <v>1050</v>
      </c>
      <c r="I15" s="10">
        <f>'Newt 12-Month Forecast'!I7*'Newt Pricing and Sales Inputs'!E7</f>
        <v>1200</v>
      </c>
      <c r="J15" s="10">
        <f>'Newt 12-Month Forecast'!J7*'Newt Pricing and Sales Inputs'!E7</f>
        <v>1350</v>
      </c>
      <c r="K15" s="10">
        <f>'Newt 12-Month Forecast'!K7*'Newt Pricing and Sales Inputs'!E7</f>
        <v>1500</v>
      </c>
      <c r="L15" s="10">
        <f>'Newt 12-Month Forecast'!L7*'Newt Pricing and Sales Inputs'!E7</f>
        <v>1650</v>
      </c>
      <c r="M15" s="10">
        <f>'Newt 12-Month Forecast'!M7*'Newt Pricing and Sales Inputs'!E7</f>
        <v>1800</v>
      </c>
    </row>
    <row r="16" outlineLevel="1">
      <c r="A16" t="inlineStr" s="17">
        <is>
          <t xml:space="preserve">Starter</t>
        </is>
      </c>
      <c r="B16" s="10">
        <f>'Newt 12-Month Forecast'!B8*'Newt Pricing and Sales Inputs'!E5</f>
        <v>300</v>
      </c>
      <c r="C16" s="10">
        <f>'Newt 12-Month Forecast'!C8*'Newt Pricing and Sales Inputs'!E5</f>
        <v>591</v>
      </c>
      <c r="D16" s="10">
        <f>'Newt 12-Month Forecast'!D8*'Newt Pricing and Sales Inputs'!E5</f>
        <v>873.2700000000001</v>
      </c>
      <c r="E16" s="10">
        <f>'Newt 12-Month Forecast'!E8*'Newt Pricing and Sales Inputs'!E5</f>
        <v>1147.0719000000001</v>
      </c>
      <c r="F16" s="10">
        <f>'Newt 12-Month Forecast'!F8*'Newt Pricing and Sales Inputs'!E5</f>
        <v>1412.659743</v>
      </c>
      <c r="G16" s="10">
        <f>'Newt 12-Month Forecast'!G8*'Newt Pricing and Sales Inputs'!E5</f>
        <v>1670.27995071</v>
      </c>
      <c r="H16" s="10">
        <f>'Newt 12-Month Forecast'!H8*'Newt Pricing and Sales Inputs'!E5</f>
        <v>1920.1715521887</v>
      </c>
      <c r="I16" s="10">
        <f>'Newt 12-Month Forecast'!I8*'Newt Pricing and Sales Inputs'!E5</f>
        <v>2162.566405623039</v>
      </c>
      <c r="J16" s="10">
        <f>'Newt 12-Month Forecast'!J8*'Newt Pricing and Sales Inputs'!E5</f>
        <v>2397.6894134543477</v>
      </c>
      <c r="K16" s="10">
        <f>'Newt 12-Month Forecast'!K8*'Newt Pricing and Sales Inputs'!E5</f>
        <v>2625.758731050717</v>
      </c>
      <c r="L16" s="10">
        <f>'Newt 12-Month Forecast'!L8*'Newt Pricing and Sales Inputs'!E5</f>
        <v>2846.9859691191955</v>
      </c>
      <c r="M16" s="10">
        <f>'Newt 12-Month Forecast'!M8*'Newt Pricing and Sales Inputs'!E5</f>
        <v>3061.5763900456195</v>
      </c>
    </row>
    <row r="17">
      <c r="A17" t="inlineStr" s="8">
        <is>
          <t xml:space="preserve">Newt Paid Repositories</t>
        </is>
      </c>
      <c r="B17" s="10">
        <f>'Newt 12-Month Forecast'!B8+'Newt 12-Month Forecast'!B6</f>
        <v>4</v>
      </c>
      <c r="C17" s="10">
        <f>'Newt 12-Month Forecast'!C8+'Newt 12-Month Forecast'!C6</f>
        <v>7.88</v>
      </c>
      <c r="D17" s="10">
        <f>'Newt 12-Month Forecast'!D8+'Newt 12-Month Forecast'!D6</f>
        <v>11.643600000000001</v>
      </c>
      <c r="E17" s="10">
        <f>'Newt 12-Month Forecast'!E8+'Newt 12-Month Forecast'!E6</f>
        <v>15.294292</v>
      </c>
      <c r="F17" s="10">
        <f>'Newt 12-Month Forecast'!F8+'Newt 12-Month Forecast'!F6</f>
        <v>18.83546324</v>
      </c>
      <c r="G17" s="10">
        <f>'Newt 12-Month Forecast'!G8+'Newt 12-Month Forecast'!G6</f>
        <v>22.270399342799998</v>
      </c>
      <c r="H17" s="10">
        <f>'Newt 12-Month Forecast'!H8+'Newt 12-Month Forecast'!H6</f>
        <v>25.602287362515998</v>
      </c>
      <c r="I17" s="10">
        <f>'Newt 12-Month Forecast'!I8+'Newt 12-Month Forecast'!I6</f>
        <v>28.834218741640516</v>
      </c>
      <c r="J17" s="10">
        <f>'Newt 12-Month Forecast'!J8+'Newt 12-Month Forecast'!J6</f>
        <v>31.9691921793913</v>
      </c>
      <c r="K17" s="10">
        <f>'Newt 12-Month Forecast'!K8+'Newt 12-Month Forecast'!K6</f>
        <v>35.01011641400956</v>
      </c>
      <c r="L17" s="10">
        <f>'Newt 12-Month Forecast'!L8+'Newt 12-Month Forecast'!L6</f>
        <v>37.95981292158927</v>
      </c>
      <c r="M17" s="10">
        <f>'Newt 12-Month Forecast'!M8+'Newt 12-Month Forecast'!M6</f>
        <v>40.82101853394159</v>
      </c>
    </row>
    <row r="18">
      <c r="A18" t="inlineStr" s="8">
        <is>
          <t xml:space="preserve">Newt Testing Cost</t>
        </is>
      </c>
      <c r="B18" s="9">
        <f>'Newt 12-Month Forecast'!B13*'Newt Inputs'!B17</f>
        <v>85</v>
      </c>
      <c r="C18" s="9">
        <f>'Newt 12-Month Forecast'!C13*'Newt Inputs'!B17</f>
        <v>167.9</v>
      </c>
      <c r="D18" s="9">
        <f>'Newt 12-Month Forecast'!D13*'Newt Inputs'!B17</f>
        <v>248.76300000000003</v>
      </c>
      <c r="E18" s="9">
        <f>'Newt 12-Month Forecast'!E13*'Newt Inputs'!B17</f>
        <v>327.65011000000004</v>
      </c>
      <c r="F18" s="9">
        <f>'Newt 12-Month Forecast'!F13*'Newt Inputs'!B17</f>
        <v>404.62060669999994</v>
      </c>
      <c r="G18" s="9">
        <f>'Newt 12-Month Forecast'!G13*'Newt Inputs'!B17</f>
        <v>479.73198849899995</v>
      </c>
      <c r="H18" s="9">
        <f>'Newt 12-Month Forecast'!H13*'Newt Inputs'!B17</f>
        <v>553.04002884403</v>
      </c>
      <c r="I18" s="9">
        <f>'Newt 12-Month Forecast'!I13*'Newt Inputs'!B17</f>
        <v>624.5988279787091</v>
      </c>
      <c r="J18" s="9">
        <f>'Newt 12-Month Forecast'!J13*'Newt Inputs'!B17</f>
        <v>694.4608631393478</v>
      </c>
      <c r="K18" s="9">
        <f>'Newt 12-Month Forecast'!K13*'Newt Inputs'!B17</f>
        <v>762.6770372451673</v>
      </c>
      <c r="L18" s="9">
        <f>'Newt 12-Month Forecast'!L13*'Newt Inputs'!B17</f>
        <v>829.2967261278122</v>
      </c>
      <c r="M18" s="9">
        <f>'Newt 12-Month Forecast'!M13*'Newt Inputs'!B17</f>
        <v>894.367824343978</v>
      </c>
    </row>
    <row r="19">
      <c r="A19" t="inlineStr" s="8">
        <is>
          <t xml:space="preserve">Newt Payment Fees</t>
        </is>
      </c>
      <c r="B19" s="9">
        <f>'Newt 12-Month Forecast'!B9*'Newt Inputs'!B9</f>
        <v>8.879999999999999</v>
      </c>
      <c r="C19" s="9">
        <f>'Newt 12-Month Forecast'!C9*'Newt Inputs'!B9</f>
        <v>17.4936</v>
      </c>
      <c r="D19" s="9">
        <f>'Newt 12-Month Forecast'!D9*'Newt Inputs'!B9</f>
        <v>25.848792000000003</v>
      </c>
      <c r="E19" s="9">
        <f>'Newt 12-Month Forecast'!E9*'Newt Inputs'!B9</f>
        <v>33.95332824</v>
      </c>
      <c r="F19" s="9">
        <f>'Newt 12-Month Forecast'!F9*'Newt Inputs'!B9</f>
        <v>41.81472839279999</v>
      </c>
      <c r="G19" s="9">
        <f>'Newt 12-Month Forecast'!G9*'Newt Inputs'!B9</f>
        <v>49.44028654101599</v>
      </c>
      <c r="H19" s="9">
        <f>'Newt 12-Month Forecast'!H9*'Newt Inputs'!B9</f>
        <v>56.83707794478551</v>
      </c>
      <c r="I19" s="9">
        <f>'Newt 12-Month Forecast'!I9*'Newt Inputs'!B9</f>
        <v>64.01196560644193</v>
      </c>
      <c r="J19" s="9">
        <f>'Newt 12-Month Forecast'!J9*'Newt Inputs'!B9</f>
        <v>70.97160663824869</v>
      </c>
      <c r="K19" s="9">
        <f>'Newt 12-Month Forecast'!K9*'Newt Inputs'!B9</f>
        <v>77.72245843910122</v>
      </c>
      <c r="L19" s="9">
        <f>'Newt 12-Month Forecast'!L9*'Newt Inputs'!B9</f>
        <v>84.27078468592818</v>
      </c>
      <c r="M19" s="9">
        <f>'Newt 12-Month Forecast'!M9*'Newt Inputs'!B9</f>
        <v>90.62266114535034</v>
      </c>
    </row>
    <row r="20">
      <c r="A20" t="inlineStr" s="8">
        <is>
          <t xml:space="preserve">Newt Business Cash Cost</t>
        </is>
      </c>
      <c r="B20" s="9">
        <f>'Newt 12-Month Forecast'!B18+'Newt 12-Month Forecast'!B19+'Newt Inputs'!B7+'Newt Inputs'!B8</f>
        <v>343.88</v>
      </c>
      <c r="C20" s="9">
        <f>'Newt 12-Month Forecast'!C18+'Newt 12-Month Forecast'!C19+'Newt Inputs'!B7+'Newt Inputs'!B8</f>
        <v>435.3936</v>
      </c>
      <c r="D20" s="9">
        <f>'Newt 12-Month Forecast'!D18+'Newt 12-Month Forecast'!D19+'Newt Inputs'!B7+'Newt Inputs'!B8</f>
        <v>524.611792</v>
      </c>
      <c r="E20" s="9">
        <f>'Newt 12-Month Forecast'!E18+'Newt 12-Month Forecast'!E19+'Newt Inputs'!B7+'Newt Inputs'!B8</f>
        <v>611.6034382400001</v>
      </c>
      <c r="F20" s="9">
        <f>'Newt 12-Month Forecast'!F18+'Newt 12-Month Forecast'!F19+'Newt Inputs'!B7+'Newt Inputs'!B8</f>
        <v>696.4353350928</v>
      </c>
      <c r="G20" s="9">
        <f>'Newt 12-Month Forecast'!G18+'Newt 12-Month Forecast'!G19+'Newt Inputs'!B7+'Newt Inputs'!B8</f>
        <v>779.172275040016</v>
      </c>
      <c r="H20" s="9">
        <f>'Newt 12-Month Forecast'!H18+'Newt 12-Month Forecast'!H19+'Newt Inputs'!B7+'Newt Inputs'!B8</f>
        <v>859.8771067888155</v>
      </c>
      <c r="I20" s="9">
        <f>'Newt 12-Month Forecast'!I18+'Newt 12-Month Forecast'!I19+'Newt Inputs'!B7+'Newt Inputs'!B8</f>
        <v>938.610793585151</v>
      </c>
      <c r="J20" s="9">
        <f>'Newt 12-Month Forecast'!J18+'Newt 12-Month Forecast'!J19+'Newt Inputs'!B7+'Newt Inputs'!B8</f>
        <v>1015.4324697775965</v>
      </c>
      <c r="K20" s="9">
        <f>'Newt 12-Month Forecast'!K18+'Newt 12-Month Forecast'!K19+'Newt Inputs'!B7+'Newt Inputs'!B8</f>
        <v>1090.3994956842685</v>
      </c>
      <c r="L20" s="9">
        <f>'Newt 12-Month Forecast'!L18+'Newt 12-Month Forecast'!L19+'Newt Inputs'!B7+'Newt Inputs'!B8</f>
        <v>1163.5675108137405</v>
      </c>
      <c r="M20" s="9">
        <f>'Newt 12-Month Forecast'!M18+'Newt 12-Month Forecast'!M19+'Newt Inputs'!B7+'Newt Inputs'!B8</f>
        <v>1234.9904854893284</v>
      </c>
    </row>
    <row r="21">
      <c r="A21" t="inlineStr" s="8">
        <is>
          <t xml:space="preserve">Newt Cash Before Founder Draw</t>
        </is>
      </c>
      <c r="B21" s="9">
        <f>'Newt 12-Month Forecast'!B9-'Newt 12-Month Forecast'!B20</f>
        <v>-47.879999999999995</v>
      </c>
      <c r="C21" s="9">
        <f>'Newt 12-Month Forecast'!C9-'Newt 12-Month Forecast'!C20</f>
        <v>147.7264</v>
      </c>
      <c r="D21" s="9">
        <f>'Newt 12-Month Forecast'!D9-'Newt 12-Month Forecast'!D20</f>
        <v>337.01460800000007</v>
      </c>
      <c r="E21" s="9">
        <f>'Newt 12-Month Forecast'!E9-'Newt 12-Month Forecast'!E20</f>
        <v>520.1741697599998</v>
      </c>
      <c r="F21" s="9">
        <f>'Newt 12-Month Forecast'!F9-'Newt 12-Month Forecast'!F20</f>
        <v>697.3889446671999</v>
      </c>
      <c r="G21" s="9">
        <f>'Newt 12-Month Forecast'!G9-'Newt 12-Month Forecast'!G20</f>
        <v>868.8372763271838</v>
      </c>
      <c r="H21" s="9">
        <f>'Newt 12-Month Forecast'!H9-'Newt 12-Month Forecast'!H20</f>
        <v>1034.6921580373682</v>
      </c>
      <c r="I21" s="9">
        <f>'Newt 12-Month Forecast'!I9-'Newt 12-Month Forecast'!I20</f>
        <v>1195.1213932962469</v>
      </c>
      <c r="J21" s="9">
        <f>'Newt 12-Month Forecast'!J9-'Newt 12-Month Forecast'!J20</f>
        <v>1350.2877514973597</v>
      </c>
      <c r="K21" s="9">
        <f>'Newt 12-Month Forecast'!K9-'Newt 12-Month Forecast'!K20</f>
        <v>1500.3491189524389</v>
      </c>
      <c r="L21" s="9">
        <f>'Newt 12-Month Forecast'!L9-'Newt 12-Month Forecast'!L20</f>
        <v>1645.4586453838654</v>
      </c>
      <c r="M21" s="9">
        <f>'Newt 12-Month Forecast'!M9-'Newt 12-Month Forecast'!M20</f>
        <v>1785.7648860223494</v>
      </c>
    </row>
    <row r="22">
      <c r="A22" t="inlineStr" s="8">
        <is>
          <t xml:space="preserve">Newt Net Cash Flow</t>
        </is>
      </c>
      <c r="B22" s="9">
        <f>'Newt 12-Month Forecast'!B21-'Newt Inputs'!B6</f>
        <v>-1547.88</v>
      </c>
      <c r="C22" s="9">
        <f>'Newt 12-Month Forecast'!C21-'Newt Inputs'!B6</f>
        <v>-1352.2736</v>
      </c>
      <c r="D22" s="9">
        <f>'Newt 12-Month Forecast'!D21-'Newt Inputs'!B6</f>
        <v>-1162.985392</v>
      </c>
      <c r="E22" s="9">
        <f>'Newt 12-Month Forecast'!E21-'Newt Inputs'!B6</f>
        <v>-979.8258302400002</v>
      </c>
      <c r="F22" s="9">
        <f>'Newt 12-Month Forecast'!F21-'Newt Inputs'!B6</f>
        <v>-802.6110553328001</v>
      </c>
      <c r="G22" s="9">
        <f>'Newt 12-Month Forecast'!G21-'Newt Inputs'!B6</f>
        <v>-631.1627236728162</v>
      </c>
      <c r="H22" s="9">
        <f>'Newt 12-Month Forecast'!H21-'Newt Inputs'!B6</f>
        <v>-465.30784196263176</v>
      </c>
      <c r="I22" s="9">
        <f>'Newt 12-Month Forecast'!I21-'Newt Inputs'!B6</f>
        <v>-304.8786067037531</v>
      </c>
      <c r="J22" s="9">
        <f>'Newt 12-Month Forecast'!J21-'Newt Inputs'!B6</f>
        <v>-149.71224850264025</v>
      </c>
      <c r="K22" s="9">
        <f>'Newt 12-Month Forecast'!K21-'Newt Inputs'!B6</f>
        <v>0.3491189524388574</v>
      </c>
      <c r="L22" s="9">
        <f>'Newt 12-Month Forecast'!L21-'Newt Inputs'!B6</f>
        <v>145.45864538386536</v>
      </c>
      <c r="M22" s="9">
        <f>'Newt 12-Month Forecast'!M21-'Newt Inputs'!B6</f>
        <v>285.7648860223494</v>
      </c>
    </row>
    <row r="23">
      <c r="A23" t="inlineStr" s="5">
        <is>
          <t xml:space="preserve">Newt Cash Balance</t>
        </is>
      </c>
      <c r="B23" s="6">
        <f>'Model inputs'!B11+'Newt 12-Month Forecast'!B22</f>
        <v>3452.12</v>
      </c>
      <c r="C23" s="6">
        <f>'Newt 12-Month Forecast'!B23+'Newt 12-Month Forecast'!C22</f>
        <v>2099.8464</v>
      </c>
      <c r="D23" s="6">
        <f>'Newt 12-Month Forecast'!C23+'Newt 12-Month Forecast'!D22</f>
        <v>936.8610079999999</v>
      </c>
      <c r="E23" s="6">
        <f>'Newt 12-Month Forecast'!D23+'Newt 12-Month Forecast'!E22</f>
        <v>-42.96482224000033</v>
      </c>
      <c r="F23" s="6">
        <f>'Newt 12-Month Forecast'!E23+'Newt 12-Month Forecast'!F22</f>
        <v>-845.5758775728004</v>
      </c>
      <c r="G23" s="6">
        <f>'Newt 12-Month Forecast'!F23+'Newt 12-Month Forecast'!G22</f>
        <v>-1476.7386012456168</v>
      </c>
      <c r="H23" s="6">
        <f>'Newt 12-Month Forecast'!G23+'Newt 12-Month Forecast'!H22</f>
        <v>-1942.0464432082485</v>
      </c>
      <c r="I23" s="6">
        <f>'Newt 12-Month Forecast'!H23+'Newt 12-Month Forecast'!I22</f>
        <v>-2246.9250499120017</v>
      </c>
      <c r="J23" s="6">
        <f>'Newt 12-Month Forecast'!I23+'Newt 12-Month Forecast'!J22</f>
        <v>-2396.637298414642</v>
      </c>
      <c r="K23" s="6">
        <f>'Newt 12-Month Forecast'!J23+'Newt 12-Month Forecast'!K22</f>
        <v>-2396.288179462203</v>
      </c>
      <c r="L23" s="6">
        <f>'Newt 12-Month Forecast'!K23+'Newt 12-Month Forecast'!L22</f>
        <v>-2250.829534078338</v>
      </c>
      <c r="M23" s="6">
        <f>'Newt 12-Month Forecast'!L23+'Newt 12-Month Forecast'!M22</f>
        <v>-1965.0646480559885</v>
      </c>
    </row>
  </sheetData>
  <mergeCells count="1">
    <mergeCell ref="A1:M1"/>
  </mergeCells>
</worksheet>
</file>

<file path=xl/worksheets/sheet5.xml><?xml version="1.0" encoding="utf-8"?>
<worksheet xmlns="http://schemas.openxmlformats.org/spreadsheetml/2006/main">
  <dimension ref="A1:P84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8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16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16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16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16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4">
        <is>
          <t xml:space="preserve">Value</t>
        </is>
      </c>
      <c r="P5" t="inlineStr" s="4">
        <is>
          <t xml:space="preserve">Value</t>
        </is>
      </c>
    </row>
    <row r="6">
      <c r="A6" t="inlineStr" s="19">
        <is>
          <t xml:space="preserve">Newt Active Repositories</t>
        </is>
      </c>
      <c r="B6" s="7">
        <f>SUM('Model inputs'!B7,'Model inputs'!B8,'Model inputs'!B9)</f>
        <v>0</v>
      </c>
      <c r="C6" s="7">
        <f>SUM('Model inputs'!C7,'Model inputs'!C8,'Model inputs'!C9)</f>
        <v>9</v>
      </c>
      <c r="D6" s="7">
        <f>SUM('Model inputs'!D7,'Model inputs'!D8,'Model inputs'!D9)</f>
        <v>17.880000000000003</v>
      </c>
      <c r="E6" s="7">
        <f>SUM('Model inputs'!E7,'Model inputs'!E8,'Model inputs'!E9)</f>
        <v>26.6436</v>
      </c>
      <c r="F6" s="7">
        <f>SUM('Model inputs'!F7,'Model inputs'!F8,'Model inputs'!F9)</f>
        <v>35.294292</v>
      </c>
      <c r="G6" s="7">
        <f>SUM('Model inputs'!G7,'Model inputs'!G8,'Model inputs'!G9)</f>
        <v>43.835463239999996</v>
      </c>
      <c r="H6" s="7">
        <f>SUM('Model inputs'!H7,'Model inputs'!H8,'Model inputs'!H9)</f>
        <v>52.2703993428</v>
      </c>
      <c r="I6" s="7">
        <f>SUM('Model inputs'!I7,'Model inputs'!I8,'Model inputs'!I9)</f>
        <v>60.602287362515995</v>
      </c>
      <c r="J6" s="7">
        <f>SUM('Model inputs'!J7,'Model inputs'!J8,'Model inputs'!J9)</f>
        <v>68.83421874164051</v>
      </c>
      <c r="K6" s="7">
        <f>SUM('Model inputs'!K7,'Model inputs'!K8,'Model inputs'!K9)</f>
        <v>76.9691921793913</v>
      </c>
      <c r="L6" s="7">
        <f>SUM('Model inputs'!L7,'Model inputs'!L8,'Model inputs'!L9)</f>
        <v>85.01011641400956</v>
      </c>
      <c r="M6" s="7">
        <f>SUM('Model inputs'!M7,'Model inputs'!M8,'Model inputs'!M9)</f>
        <v>92.95981292158928</v>
      </c>
      <c r="N6" s="7">
        <f>SUM('Model inputs'!N7,'Model inputs'!N8,'Model inputs'!N9)</f>
        <v>100.82101853394158</v>
      </c>
    </row>
    <row r="7" outlineLevel="1">
      <c r="A7" t="inlineStr" s="20">
        <is>
          <t xml:space="preserve">Newt Active Repositories &gt; Growth</t>
        </is>
      </c>
      <c r="B7" s="10">
        <f>0</f>
        <v>0</v>
      </c>
      <c r="C7" s="10">
        <f>'Model inputs'!B7*(1-'Model inputs'!P34)+'Model inputs'!P47</f>
        <v>1</v>
      </c>
      <c r="D7" s="10">
        <f>'Model inputs'!C7*(1-'Model inputs'!P34)+'Model inputs'!P47</f>
        <v>1.97</v>
      </c>
      <c r="E7" s="10">
        <f>'Model inputs'!D7*(1-'Model inputs'!P34)+'Model inputs'!P47</f>
        <v>2.9109</v>
      </c>
      <c r="F7" s="10">
        <f>'Model inputs'!E7*(1-'Model inputs'!P34)+'Model inputs'!P47</f>
        <v>3.8235729999999997</v>
      </c>
      <c r="G7" s="10">
        <f>'Model inputs'!F7*(1-'Model inputs'!P34)+'Model inputs'!P47</f>
        <v>4.708865809999999</v>
      </c>
      <c r="H7" s="10">
        <f>'Model inputs'!G7*(1-'Model inputs'!P34)+'Model inputs'!P47</f>
        <v>5.5675998356999985</v>
      </c>
      <c r="I7" s="10">
        <f>'Model inputs'!H7*(1-'Model inputs'!P34)+'Model inputs'!P47</f>
        <v>6.400571840628999</v>
      </c>
      <c r="J7" s="10">
        <f>'Model inputs'!I7*(1-'Model inputs'!P34)+'Model inputs'!P47</f>
        <v>7.208554685410128</v>
      </c>
      <c r="K7" s="10">
        <f>'Model inputs'!J7*(1-'Model inputs'!P34)+'Model inputs'!P47</f>
        <v>7.992298044847824</v>
      </c>
      <c r="L7" s="10">
        <f>'Model inputs'!K7*(1-'Model inputs'!P34)+'Model inputs'!P47</f>
        <v>8.75252910350239</v>
      </c>
      <c r="M7" s="10">
        <f>'Model inputs'!L7*(1-'Model inputs'!P34)+'Model inputs'!P47</f>
        <v>9.489953230397317</v>
      </c>
      <c r="N7" s="10">
        <f>'Model inputs'!M7*(1-'Model inputs'!P34)+'Model inputs'!P47</f>
        <v>10.205254633485398</v>
      </c>
    </row>
    <row r="8" outlineLevel="1">
      <c r="A8" t="inlineStr" s="20">
        <is>
          <t xml:space="preserve">Newt Active Repositories &gt; Open source</t>
        </is>
      </c>
      <c r="B8" s="10">
        <f>0</f>
        <v>0</v>
      </c>
      <c r="C8" s="10">
        <f>'Model inputs'!B8*(1-'Model inputs'!P35)+'Model inputs'!P48</f>
        <v>5</v>
      </c>
      <c r="D8" s="10">
        <f>'Model inputs'!C8*(1-'Model inputs'!P35)+'Model inputs'!P48</f>
        <v>10</v>
      </c>
      <c r="E8" s="10">
        <f>'Model inputs'!D8*(1-'Model inputs'!P35)+'Model inputs'!P48</f>
        <v>15</v>
      </c>
      <c r="F8" s="10">
        <f>'Model inputs'!E8*(1-'Model inputs'!P35)+'Model inputs'!P48</f>
        <v>20</v>
      </c>
      <c r="G8" s="10">
        <f>'Model inputs'!F8*(1-'Model inputs'!P35)+'Model inputs'!P48</f>
        <v>25</v>
      </c>
      <c r="H8" s="10">
        <f>'Model inputs'!G8*(1-'Model inputs'!P35)+'Model inputs'!P48</f>
        <v>30</v>
      </c>
      <c r="I8" s="10">
        <f>'Model inputs'!H8*(1-'Model inputs'!P35)+'Model inputs'!P48</f>
        <v>35</v>
      </c>
      <c r="J8" s="10">
        <f>'Model inputs'!I8*(1-'Model inputs'!P35)+'Model inputs'!P48</f>
        <v>40</v>
      </c>
      <c r="K8" s="10">
        <f>'Model inputs'!J8*(1-'Model inputs'!P35)+'Model inputs'!P48</f>
        <v>45</v>
      </c>
      <c r="L8" s="10">
        <f>'Model inputs'!K8*(1-'Model inputs'!P35)+'Model inputs'!P48</f>
        <v>50</v>
      </c>
      <c r="M8" s="10">
        <f>'Model inputs'!L8*(1-'Model inputs'!P35)+'Model inputs'!P48</f>
        <v>55</v>
      </c>
      <c r="N8" s="10">
        <f>'Model inputs'!M8*(1-'Model inputs'!P35)+'Model inputs'!P48</f>
        <v>60</v>
      </c>
    </row>
    <row r="9" outlineLevel="1">
      <c r="A9" t="inlineStr" s="20">
        <is>
          <t xml:space="preserve">Newt Active Repositories &gt; Starter</t>
        </is>
      </c>
      <c r="B9" s="10">
        <f>0</f>
        <v>0</v>
      </c>
      <c r="C9" s="10">
        <f>'Model inputs'!B9*(1-'Model inputs'!P36)+'Model inputs'!P49</f>
        <v>3</v>
      </c>
      <c r="D9" s="10">
        <f>'Model inputs'!C9*(1-'Model inputs'!P36)+'Model inputs'!P49</f>
        <v>5.91</v>
      </c>
      <c r="E9" s="10">
        <f>'Model inputs'!D9*(1-'Model inputs'!P36)+'Model inputs'!P49</f>
        <v>8.732700000000001</v>
      </c>
      <c r="F9" s="10">
        <f>'Model inputs'!E9*(1-'Model inputs'!P36)+'Model inputs'!P49</f>
        <v>11.470719</v>
      </c>
      <c r="G9" s="10">
        <f>'Model inputs'!F9*(1-'Model inputs'!P36)+'Model inputs'!P49</f>
        <v>14.12659743</v>
      </c>
      <c r="H9" s="10">
        <f>'Model inputs'!G9*(1-'Model inputs'!P36)+'Model inputs'!P49</f>
        <v>16.7027995071</v>
      </c>
      <c r="I9" s="10">
        <f>'Model inputs'!H9*(1-'Model inputs'!P36)+'Model inputs'!P49</f>
        <v>19.201715521887</v>
      </c>
      <c r="J9" s="10">
        <f>'Model inputs'!I9*(1-'Model inputs'!P36)+'Model inputs'!P49</f>
        <v>21.625664056230388</v>
      </c>
      <c r="K9" s="10">
        <f>'Model inputs'!J9*(1-'Model inputs'!P36)+'Model inputs'!P49</f>
        <v>23.976894134543475</v>
      </c>
      <c r="L9" s="10">
        <f>'Model inputs'!K9*(1-'Model inputs'!P36)+'Model inputs'!P49</f>
        <v>26.25758731050717</v>
      </c>
      <c r="M9" s="10">
        <f>'Model inputs'!L9*(1-'Model inputs'!P36)+'Model inputs'!P49</f>
        <v>28.469859691191953</v>
      </c>
      <c r="N9" s="10">
        <f>'Model inputs'!M9*(1-'Model inputs'!P36)+'Model inputs'!P49</f>
        <v>30.615763900456194</v>
      </c>
    </row>
    <row r="10">
      <c r="A10" t="inlineStr" s="19">
        <is>
          <t xml:space="preserve">Newt Business Cash Cost</t>
        </is>
      </c>
      <c r="B10" s="9">
        <v>0</v>
      </c>
      <c r="C10" s="9">
        <f>'Model inputs'!C66+'Model inputs'!C61+'Model inputs'!P24+'Model inputs'!P50</f>
        <v>343.88</v>
      </c>
      <c r="D10" s="9">
        <f>'Model inputs'!D66+'Model inputs'!D61+'Model inputs'!P24+'Model inputs'!P50</f>
        <v>435.3936</v>
      </c>
      <c r="E10" s="9">
        <f>'Model inputs'!E66+'Model inputs'!E61+'Model inputs'!P24+'Model inputs'!P50</f>
        <v>524.611792</v>
      </c>
      <c r="F10" s="9">
        <f>'Model inputs'!F66+'Model inputs'!F61+'Model inputs'!P24+'Model inputs'!P50</f>
        <v>611.6034382400001</v>
      </c>
      <c r="G10" s="9">
        <f>'Model inputs'!G66+'Model inputs'!G61+'Model inputs'!P24+'Model inputs'!P50</f>
        <v>696.4353350928</v>
      </c>
      <c r="H10" s="9">
        <f>'Model inputs'!H66+'Model inputs'!H61+'Model inputs'!P24+'Model inputs'!P50</f>
        <v>779.172275040016</v>
      </c>
      <c r="I10" s="9">
        <f>'Model inputs'!I66+'Model inputs'!I61+'Model inputs'!P24+'Model inputs'!P50</f>
        <v>859.8771067888155</v>
      </c>
      <c r="J10" s="9">
        <f>'Model inputs'!J66+'Model inputs'!J61+'Model inputs'!P24+'Model inputs'!P50</f>
        <v>938.610793585151</v>
      </c>
      <c r="K10" s="9">
        <f>'Model inputs'!K66+'Model inputs'!K61+'Model inputs'!P24+'Model inputs'!P50</f>
        <v>1015.4324697775965</v>
      </c>
      <c r="L10" s="9">
        <f>'Model inputs'!L66+'Model inputs'!L61+'Model inputs'!P24+'Model inputs'!P50</f>
        <v>1090.3994956842685</v>
      </c>
      <c r="M10" s="9">
        <f>'Model inputs'!M66+'Model inputs'!M61+'Model inputs'!P24+'Model inputs'!P50</f>
        <v>1163.5675108137405</v>
      </c>
      <c r="N10" s="9">
        <f>'Model inputs'!N66+'Model inputs'!N61+'Model inputs'!P24+'Model inputs'!P50</f>
        <v>1234.9904854893284</v>
      </c>
    </row>
    <row r="11">
      <c r="A11" t="inlineStr" s="19">
        <is>
          <t xml:space="preserve">Newt Cash Balance</t>
        </is>
      </c>
      <c r="B11" s="9">
        <f>IF('Model inputs'!P74="","",'Model inputs'!P74)</f>
        <v>5000</v>
      </c>
      <c r="C11" s="9">
        <f>'Model inputs'!B11+'Model inputs'!C45</f>
        <v>3452.12</v>
      </c>
      <c r="D11" s="9">
        <f>'Model inputs'!C11+'Model inputs'!D45</f>
        <v>2099.8464</v>
      </c>
      <c r="E11" s="9">
        <f>'Model inputs'!D11+'Model inputs'!E45</f>
        <v>936.8610079999999</v>
      </c>
      <c r="F11" s="9">
        <f>'Model inputs'!E11+'Model inputs'!F45</f>
        <v>-42.96482224000033</v>
      </c>
      <c r="G11" s="9">
        <f>'Model inputs'!F11+'Model inputs'!G45</f>
        <v>-845.5758775728004</v>
      </c>
      <c r="H11" s="9">
        <f>'Model inputs'!G11+'Model inputs'!H45</f>
        <v>-1476.7386012456168</v>
      </c>
      <c r="I11" s="9">
        <f>'Model inputs'!H11+'Model inputs'!I45</f>
        <v>-1942.0464432082485</v>
      </c>
      <c r="J11" s="9">
        <f>'Model inputs'!I11+'Model inputs'!J45</f>
        <v>-2246.9250499120017</v>
      </c>
      <c r="K11" s="9">
        <f>'Model inputs'!J11+'Model inputs'!K45</f>
        <v>-2396.637298414642</v>
      </c>
      <c r="L11" s="9">
        <f>'Model inputs'!K11+'Model inputs'!L45</f>
        <v>-2396.288179462203</v>
      </c>
      <c r="M11" s="9">
        <f>'Model inputs'!L11+'Model inputs'!M45</f>
        <v>-2250.829534078338</v>
      </c>
      <c r="N11" s="9">
        <f>'Model inputs'!M11+'Model inputs'!N45</f>
        <v>-1965.0646480559885</v>
      </c>
    </row>
    <row r="12">
      <c r="A12" t="inlineStr" s="19">
        <is>
          <t xml:space="preserve">Newt Cash Before Founder Draw</t>
        </is>
      </c>
      <c r="B12" s="9">
        <v>0</v>
      </c>
      <c r="C12" s="9">
        <f>'Model inputs'!C62-'Model inputs'!C10</f>
        <v>-47.879999999999995</v>
      </c>
      <c r="D12" s="9">
        <f>'Model inputs'!D62-'Model inputs'!D10</f>
        <v>147.7264</v>
      </c>
      <c r="E12" s="9">
        <f>'Model inputs'!E62-'Model inputs'!E10</f>
        <v>337.01460800000007</v>
      </c>
      <c r="F12" s="9">
        <f>'Model inputs'!F62-'Model inputs'!F10</f>
        <v>520.1741697599998</v>
      </c>
      <c r="G12" s="9">
        <f>'Model inputs'!G62-'Model inputs'!G10</f>
        <v>697.3889446671999</v>
      </c>
      <c r="H12" s="9">
        <f>'Model inputs'!H62-'Model inputs'!H10</f>
        <v>868.8372763271838</v>
      </c>
      <c r="I12" s="9">
        <f>'Model inputs'!I62-'Model inputs'!I10</f>
        <v>1034.6921580373682</v>
      </c>
      <c r="J12" s="9">
        <f>'Model inputs'!J62-'Model inputs'!J10</f>
        <v>1195.1213932962469</v>
      </c>
      <c r="K12" s="9">
        <f>'Model inputs'!K62-'Model inputs'!K10</f>
        <v>1350.2877514973597</v>
      </c>
      <c r="L12" s="9">
        <f>'Model inputs'!L62-'Model inputs'!L10</f>
        <v>1500.3491189524389</v>
      </c>
      <c r="M12" s="9">
        <f>'Model inputs'!M62-'Model inputs'!M10</f>
        <v>1645.4586453838654</v>
      </c>
      <c r="N12" s="9">
        <f>'Model inputs'!N62-'Model inputs'!N10</f>
        <v>1785.7648860223494</v>
      </c>
    </row>
    <row r="13">
      <c r="A13" t="inlineStr" s="19">
        <is>
          <t xml:space="preserve">Newt Checks per Repository</t>
        </is>
      </c>
      <c r="O13" s="7">
        <v>0</v>
      </c>
    </row>
    <row r="14" outlineLevel="1">
      <c r="A14" t="inlineStr" s="20">
        <is>
          <t xml:space="preserve">Newt Checks per Repository &gt; Growth</t>
        </is>
      </c>
      <c r="O14" s="10">
        <f>'Newt Pricing and Sales Inputs'!E6</f>
        <v>400</v>
      </c>
    </row>
    <row r="15" outlineLevel="1">
      <c r="A15" t="inlineStr" s="20">
        <is>
          <t xml:space="preserve">Newt Checks per Repository &gt; Open source</t>
        </is>
      </c>
      <c r="O15" s="10">
        <f>'Newt Pricing and Sales Inputs'!E7</f>
        <v>30</v>
      </c>
    </row>
    <row r="16" outlineLevel="1">
      <c r="A16" t="inlineStr" s="20">
        <is>
          <t xml:space="preserve">Newt Checks per Repository &gt; Starter</t>
        </is>
      </c>
      <c r="O16" s="10">
        <f>'Newt Pricing and Sales Inputs'!E5</f>
        <v>100</v>
      </c>
    </row>
    <row r="17">
      <c r="A17" t="inlineStr" s="19">
        <is>
          <t xml:space="preserve">Newt Checks per Repository</t>
        </is>
      </c>
      <c r="P17" s="7">
        <v>0</v>
      </c>
    </row>
    <row r="18" outlineLevel="1">
      <c r="A18" t="inlineStr" s="20">
        <is>
          <t xml:space="preserve">Newt Checks per Repository &gt; Growth</t>
        </is>
      </c>
      <c r="P18" s="10">
        <f>'Newt Pricing and Sales Inputs'!E6</f>
        <v>400</v>
      </c>
    </row>
    <row r="19" outlineLevel="1">
      <c r="A19" t="inlineStr" s="20">
        <is>
          <t xml:space="preserve">Newt Checks per Repository &gt; Open source</t>
        </is>
      </c>
      <c r="P19" s="10">
        <f>'Newt Pricing and Sales Inputs'!E7</f>
        <v>30</v>
      </c>
    </row>
    <row r="20" outlineLevel="1">
      <c r="A20" t="inlineStr" s="20">
        <is>
          <t xml:space="preserve">Newt Checks per Repository &gt; Starter</t>
        </is>
      </c>
      <c r="P20" s="10">
        <f>'Newt Pricing and Sales Inputs'!E5</f>
        <v>100</v>
      </c>
    </row>
    <row r="21">
      <c r="A21" t="inlineStr" s="19">
        <is>
          <t xml:space="preserve">Newt Cost per Check · Newt Cost per Customer</t>
        </is>
      </c>
      <c r="O21" s="21">
        <f>'Model inputs'!O69*'Model inputs'!O68/1000000+'Model inputs'!O71*'Model inputs'!O70/1000000+'Model inputs'!O73*'Model inputs'!O67/3600+'Model inputs'!O72</f>
        <v>0.1</v>
      </c>
    </row>
    <row r="22">
      <c r="A22" t="inlineStr" s="19">
        <is>
          <t xml:space="preserve">Newt Cost per Check · Newt 12-Month Forecast</t>
        </is>
      </c>
      <c r="P22" s="21">
        <f>'Model inputs'!O69*'Model inputs'!O68/1000000+'Model inputs'!O71*'Model inputs'!O70/1000000+'Model inputs'!O73*'Model inputs'!O67/3600+'Model inputs'!O72</f>
        <v>0.1</v>
      </c>
    </row>
    <row r="23">
      <c r="A23" t="inlineStr" s="19">
        <is>
          <t xml:space="preserve">Newt Founder Draw</t>
        </is>
      </c>
      <c r="P23" s="10">
        <f>'Newt Inputs'!B6</f>
        <v>1500</v>
      </c>
    </row>
    <row r="24">
      <c r="A24" t="inlineStr" s="19">
        <is>
          <t xml:space="preserve">Newt Hosting</t>
        </is>
      </c>
      <c r="P24" s="10">
        <f>'Newt Inputs'!B7</f>
        <v>150</v>
      </c>
    </row>
    <row r="25">
      <c r="A25" t="inlineStr" s="19">
        <is>
          <t xml:space="preserve">Newt Included Checks</t>
        </is>
      </c>
      <c r="O25" s="7">
        <v>0</v>
      </c>
    </row>
    <row r="26" outlineLevel="1">
      <c r="A26" t="inlineStr" s="20">
        <is>
          <t xml:space="preserve">Newt Included Checks &gt; Growth</t>
        </is>
      </c>
      <c r="O26" s="10">
        <f>'Newt Pricing and Sales Inputs'!C6</f>
        <v>500</v>
      </c>
    </row>
    <row r="27" outlineLevel="1">
      <c r="A27" t="inlineStr" s="20">
        <is>
          <t xml:space="preserve">Newt Included Checks &gt; Open source</t>
        </is>
      </c>
      <c r="O27" s="10">
        <f>'Newt Pricing and Sales Inputs'!C7</f>
        <v>30</v>
      </c>
    </row>
    <row r="28" outlineLevel="1">
      <c r="A28" t="inlineStr" s="20">
        <is>
          <t xml:space="preserve">Newt Included Checks &gt; Starter</t>
        </is>
      </c>
      <c r="O28" s="10">
        <f>'Newt Pricing and Sales Inputs'!C5</f>
        <v>100</v>
      </c>
    </row>
    <row r="29">
      <c r="A29" t="inlineStr" s="19">
        <is>
          <t xml:space="preserve">Newt Included Checks</t>
        </is>
      </c>
      <c r="P29" s="7">
        <v>0</v>
      </c>
    </row>
    <row r="30" outlineLevel="1">
      <c r="A30" t="inlineStr" s="20">
        <is>
          <t xml:space="preserve">Newt Included Checks &gt; Growth</t>
        </is>
      </c>
      <c r="P30" s="10">
        <f>'Newt Pricing and Sales Inputs'!C6</f>
        <v>500</v>
      </c>
    </row>
    <row r="31" outlineLevel="1">
      <c r="A31" t="inlineStr" s="20">
        <is>
          <t xml:space="preserve">Newt Included Checks &gt; Open source</t>
        </is>
      </c>
      <c r="P31" s="10">
        <f>'Newt Pricing and Sales Inputs'!C7</f>
        <v>30</v>
      </c>
    </row>
    <row r="32" outlineLevel="1">
      <c r="A32" t="inlineStr" s="20">
        <is>
          <t xml:space="preserve">Newt Included Checks &gt; Starter</t>
        </is>
      </c>
      <c r="P32" s="10">
        <f>'Newt Pricing and Sales Inputs'!C5</f>
        <v>100</v>
      </c>
    </row>
    <row r="33">
      <c r="A33" t="inlineStr" s="19">
        <is>
          <t xml:space="preserve">Newt Monthly Churn</t>
        </is>
      </c>
      <c r="P33" s="7">
        <v>0</v>
      </c>
    </row>
    <row r="34" outlineLevel="1">
      <c r="A34" t="inlineStr" s="20">
        <is>
          <t xml:space="preserve">Newt Monthly Churn &gt; Growth</t>
        </is>
      </c>
      <c r="P34" s="10">
        <f>'Newt Pricing and Sales Inputs'!G6</f>
        <v>0.03</v>
      </c>
    </row>
    <row r="35" outlineLevel="1">
      <c r="A35" t="inlineStr" s="20">
        <is>
          <t xml:space="preserve">Newt Monthly Churn &gt; Open source</t>
        </is>
      </c>
      <c r="P35" s="10">
        <f>'Newt Pricing and Sales Inputs'!G7</f>
        <v>0</v>
      </c>
    </row>
    <row r="36" outlineLevel="1">
      <c r="A36" t="inlineStr" s="20">
        <is>
          <t xml:space="preserve">Newt Monthly Churn &gt; Starter</t>
        </is>
      </c>
      <c r="P36" s="10">
        <f>'Newt Pricing and Sales Inputs'!G5</f>
        <v>0.03</v>
      </c>
    </row>
    <row r="37">
      <c r="A37" t="inlineStr" s="19">
        <is>
          <t xml:space="preserve">Newt Monthly Price</t>
        </is>
      </c>
      <c r="O37" s="6">
        <v>0</v>
      </c>
    </row>
    <row r="38" outlineLevel="1">
      <c r="A38" t="inlineStr" s="20">
        <is>
          <t xml:space="preserve">Newt Monthly Price &gt; Growth</t>
        </is>
      </c>
      <c r="O38" s="9">
        <f>'Newt Pricing and Sales Inputs'!B6</f>
        <v>149</v>
      </c>
    </row>
    <row r="39" outlineLevel="1">
      <c r="A39" t="inlineStr" s="20">
        <is>
          <t xml:space="preserve">Newt Monthly Price &gt; Open source</t>
        </is>
      </c>
      <c r="O39" s="9">
        <f>'Newt Pricing and Sales Inputs'!B7</f>
        <v>0</v>
      </c>
    </row>
    <row r="40" outlineLevel="1">
      <c r="A40" t="inlineStr" s="20">
        <is>
          <t xml:space="preserve">Newt Monthly Price &gt; Starter</t>
        </is>
      </c>
      <c r="O40" s="9">
        <f>'Newt Pricing and Sales Inputs'!B5</f>
        <v>49</v>
      </c>
    </row>
    <row r="41">
      <c r="A41" t="inlineStr" s="19">
        <is>
          <t xml:space="preserve">Newt Monthly Price</t>
        </is>
      </c>
      <c r="P41" s="6">
        <v>0</v>
      </c>
    </row>
    <row r="42" outlineLevel="1">
      <c r="A42" t="inlineStr" s="20">
        <is>
          <t xml:space="preserve">Newt Monthly Price &gt; Growth</t>
        </is>
      </c>
      <c r="P42" s="9">
        <f>'Newt Pricing and Sales Inputs'!B6</f>
        <v>149</v>
      </c>
    </row>
    <row r="43" outlineLevel="1">
      <c r="A43" t="inlineStr" s="20">
        <is>
          <t xml:space="preserve">Newt Monthly Price &gt; Open source</t>
        </is>
      </c>
      <c r="P43" s="9">
        <f>'Newt Pricing and Sales Inputs'!B7</f>
        <v>0</v>
      </c>
    </row>
    <row r="44" outlineLevel="1">
      <c r="A44" t="inlineStr" s="20">
        <is>
          <t xml:space="preserve">Newt Monthly Price &gt; Starter</t>
        </is>
      </c>
      <c r="P44" s="9">
        <f>'Newt Pricing and Sales Inputs'!B5</f>
        <v>49</v>
      </c>
    </row>
    <row r="45">
      <c r="A45" t="inlineStr" s="19">
        <is>
          <t xml:space="preserve">Newt Net Cash Flow</t>
        </is>
      </c>
      <c r="B45" s="9">
        <v>0</v>
      </c>
      <c r="C45" s="9">
        <f>'Model inputs'!C12-'Model inputs'!P23</f>
        <v>-1547.88</v>
      </c>
      <c r="D45" s="9">
        <f>'Model inputs'!D12-'Model inputs'!P23</f>
        <v>-1352.2736</v>
      </c>
      <c r="E45" s="9">
        <f>'Model inputs'!E12-'Model inputs'!P23</f>
        <v>-1162.985392</v>
      </c>
      <c r="F45" s="9">
        <f>'Model inputs'!F12-'Model inputs'!P23</f>
        <v>-979.8258302400002</v>
      </c>
      <c r="G45" s="9">
        <f>'Model inputs'!G12-'Model inputs'!P23</f>
        <v>-802.6110553328001</v>
      </c>
      <c r="H45" s="9">
        <f>'Model inputs'!H12-'Model inputs'!P23</f>
        <v>-631.1627236728162</v>
      </c>
      <c r="I45" s="9">
        <f>'Model inputs'!I12-'Model inputs'!P23</f>
        <v>-465.30784196263176</v>
      </c>
      <c r="J45" s="9">
        <f>'Model inputs'!J12-'Model inputs'!P23</f>
        <v>-304.8786067037531</v>
      </c>
      <c r="K45" s="9">
        <f>'Model inputs'!K12-'Model inputs'!P23</f>
        <v>-149.71224850264025</v>
      </c>
      <c r="L45" s="9">
        <f>'Model inputs'!L12-'Model inputs'!P23</f>
        <v>0.3491189524388574</v>
      </c>
      <c r="M45" s="9">
        <f>'Model inputs'!M12-'Model inputs'!P23</f>
        <v>145.45864538386536</v>
      </c>
      <c r="N45" s="9">
        <f>'Model inputs'!N12-'Model inputs'!P23</f>
        <v>285.7648860223494</v>
      </c>
    </row>
    <row r="46">
      <c r="A46" t="inlineStr" s="19">
        <is>
          <t xml:space="preserve">Newt New Repositories</t>
        </is>
      </c>
      <c r="P46" s="7">
        <v>0</v>
      </c>
    </row>
    <row r="47" outlineLevel="1">
      <c r="A47" t="inlineStr" s="20">
        <is>
          <t xml:space="preserve">Newt New Repositories &gt; Growth</t>
        </is>
      </c>
      <c r="P47" s="10">
        <f>'Newt Pricing and Sales Inputs'!F6</f>
        <v>1</v>
      </c>
    </row>
    <row r="48" outlineLevel="1">
      <c r="A48" t="inlineStr" s="20">
        <is>
          <t xml:space="preserve">Newt New Repositories &gt; Open source</t>
        </is>
      </c>
      <c r="P48" s="10">
        <f>'Newt Pricing and Sales Inputs'!F7</f>
        <v>5</v>
      </c>
    </row>
    <row r="49" outlineLevel="1">
      <c r="A49" t="inlineStr" s="20">
        <is>
          <t xml:space="preserve">Newt New Repositories &gt; Starter</t>
        </is>
      </c>
      <c r="P49" s="10">
        <f>'Newt Pricing and Sales Inputs'!F5</f>
        <v>3</v>
      </c>
    </row>
    <row r="50">
      <c r="A50" t="inlineStr" s="19">
        <is>
          <t xml:space="preserve">Newt Other Tools</t>
        </is>
      </c>
      <c r="P50" s="10">
        <f>'Newt Inputs'!B8</f>
        <v>100</v>
      </c>
    </row>
    <row r="51">
      <c r="A51" t="inlineStr" s="19">
        <is>
          <t xml:space="preserve">Newt Overage Price</t>
        </is>
      </c>
      <c r="P51" s="7">
        <v>0</v>
      </c>
    </row>
    <row r="52" outlineLevel="1">
      <c r="A52" t="inlineStr" s="20">
        <is>
          <t xml:space="preserve">Newt Overage Price &gt; Growth</t>
        </is>
      </c>
      <c r="P52" s="10">
        <f>'Newt Pricing and Sales Inputs'!D6</f>
        <v>0.25</v>
      </c>
    </row>
    <row r="53" outlineLevel="1">
      <c r="A53" t="inlineStr" s="20">
        <is>
          <t xml:space="preserve">Newt Overage Price &gt; Open source</t>
        </is>
      </c>
      <c r="P53" s="10">
        <f>'Newt Pricing and Sales Inputs'!D7</f>
        <v>0</v>
      </c>
    </row>
    <row r="54" outlineLevel="1">
      <c r="A54" t="inlineStr" s="20">
        <is>
          <t xml:space="preserve">Newt Overage Price &gt; Starter</t>
        </is>
      </c>
      <c r="P54" s="10">
        <f>'Newt Pricing and Sales Inputs'!D5</f>
        <v>0.3</v>
      </c>
    </row>
    <row r="55">
      <c r="A55" t="inlineStr" s="19">
        <is>
          <t xml:space="preserve">Newt Page Checks</t>
        </is>
      </c>
      <c r="B55" s="7">
        <f>SUM('Model inputs'!B56,'Model inputs'!B57,'Model inputs'!B58)</f>
        <v>0</v>
      </c>
      <c r="C55" s="7">
        <f>SUM('Model inputs'!C56,'Model inputs'!C57,'Model inputs'!C58)</f>
        <v>850</v>
      </c>
      <c r="D55" s="7">
        <f>SUM('Model inputs'!D56,'Model inputs'!D57,'Model inputs'!D58)</f>
        <v>1679</v>
      </c>
      <c r="E55" s="7">
        <f>SUM('Model inputs'!E56,'Model inputs'!E57,'Model inputs'!E58)</f>
        <v>2487.63</v>
      </c>
      <c r="F55" s="7">
        <f>SUM('Model inputs'!F56,'Model inputs'!F57,'Model inputs'!F58)</f>
        <v>3276.5011</v>
      </c>
      <c r="G55" s="7">
        <f>SUM('Model inputs'!G56,'Model inputs'!G57,'Model inputs'!G58)</f>
        <v>4046.206066999999</v>
      </c>
      <c r="H55" s="7">
        <f>SUM('Model inputs'!H56,'Model inputs'!H57,'Model inputs'!H58)</f>
        <v>4797.319884989999</v>
      </c>
      <c r="I55" s="7">
        <f>SUM('Model inputs'!I56,'Model inputs'!I57,'Model inputs'!I58)</f>
        <v>5530.4002884403</v>
      </c>
      <c r="J55" s="7">
        <f>SUM('Model inputs'!J56,'Model inputs'!J57,'Model inputs'!J58)</f>
        <v>6245.9882797870905</v>
      </c>
      <c r="K55" s="7">
        <f>SUM('Model inputs'!K56,'Model inputs'!K57,'Model inputs'!K58)</f>
        <v>6944.6086313934775</v>
      </c>
      <c r="L55" s="7">
        <f>SUM('Model inputs'!L56,'Model inputs'!L57,'Model inputs'!L58)</f>
        <v>7626.770372451672</v>
      </c>
      <c r="M55" s="7">
        <f>SUM('Model inputs'!M56,'Model inputs'!M57,'Model inputs'!M58)</f>
        <v>8292.967261278121</v>
      </c>
      <c r="N55" s="7">
        <f>SUM('Model inputs'!N56,'Model inputs'!N57,'Model inputs'!N58)</f>
        <v>8943.67824343978</v>
      </c>
    </row>
    <row r="56" outlineLevel="1">
      <c r="A56" t="inlineStr" s="20">
        <is>
          <t xml:space="preserve">Newt Page Checks &gt; Growth</t>
        </is>
      </c>
      <c r="B56" s="10">
        <f>0</f>
        <v>0</v>
      </c>
      <c r="C56" s="10">
        <f>'Model inputs'!C7*'Model inputs'!O14</f>
        <v>400</v>
      </c>
      <c r="D56" s="10">
        <f>'Model inputs'!D7*'Model inputs'!O14</f>
        <v>788</v>
      </c>
      <c r="E56" s="10">
        <f>'Model inputs'!E7*'Model inputs'!O14</f>
        <v>1164.36</v>
      </c>
      <c r="F56" s="10">
        <f>'Model inputs'!F7*'Model inputs'!O14</f>
        <v>1529.4291999999998</v>
      </c>
      <c r="G56" s="10">
        <f>'Model inputs'!G7*'Model inputs'!O14</f>
        <v>1883.5463239999995</v>
      </c>
      <c r="H56" s="10">
        <f>'Model inputs'!H7*'Model inputs'!O14</f>
        <v>2227.039934279999</v>
      </c>
      <c r="I56" s="10">
        <f>'Model inputs'!I7*'Model inputs'!O14</f>
        <v>2560.2287362515995</v>
      </c>
      <c r="J56" s="10">
        <f>'Model inputs'!J7*'Model inputs'!O14</f>
        <v>2883.421874164051</v>
      </c>
      <c r="K56" s="10">
        <f>'Model inputs'!K7*'Model inputs'!O14</f>
        <v>3196.91921793913</v>
      </c>
      <c r="L56" s="10">
        <f>'Model inputs'!L7*'Model inputs'!O14</f>
        <v>3501.011641400956</v>
      </c>
      <c r="M56" s="10">
        <f>'Model inputs'!M7*'Model inputs'!O14</f>
        <v>3795.981292158927</v>
      </c>
      <c r="N56" s="10">
        <f>'Model inputs'!N7*'Model inputs'!O14</f>
        <v>4082.101853394159</v>
      </c>
    </row>
    <row r="57" outlineLevel="1">
      <c r="A57" t="inlineStr" s="20">
        <is>
          <t xml:space="preserve">Newt Page Checks &gt; Open source</t>
        </is>
      </c>
      <c r="B57" s="10">
        <f>0</f>
        <v>0</v>
      </c>
      <c r="C57" s="10">
        <f>'Model inputs'!C8*'Model inputs'!O15</f>
        <v>150</v>
      </c>
      <c r="D57" s="10">
        <f>'Model inputs'!D8*'Model inputs'!O15</f>
        <v>300</v>
      </c>
      <c r="E57" s="10">
        <f>'Model inputs'!E8*'Model inputs'!O15</f>
        <v>450</v>
      </c>
      <c r="F57" s="10">
        <f>'Model inputs'!F8*'Model inputs'!O15</f>
        <v>600</v>
      </c>
      <c r="G57" s="10">
        <f>'Model inputs'!G8*'Model inputs'!O15</f>
        <v>750</v>
      </c>
      <c r="H57" s="10">
        <f>'Model inputs'!H8*'Model inputs'!O15</f>
        <v>900</v>
      </c>
      <c r="I57" s="10">
        <f>'Model inputs'!I8*'Model inputs'!O15</f>
        <v>1050</v>
      </c>
      <c r="J57" s="10">
        <f>'Model inputs'!J8*'Model inputs'!O15</f>
        <v>1200</v>
      </c>
      <c r="K57" s="10">
        <f>'Model inputs'!K8*'Model inputs'!O15</f>
        <v>1350</v>
      </c>
      <c r="L57" s="10">
        <f>'Model inputs'!L8*'Model inputs'!O15</f>
        <v>1500</v>
      </c>
      <c r="M57" s="10">
        <f>'Model inputs'!M8*'Model inputs'!O15</f>
        <v>1650</v>
      </c>
      <c r="N57" s="10">
        <f>'Model inputs'!N8*'Model inputs'!O15</f>
        <v>1800</v>
      </c>
    </row>
    <row r="58" outlineLevel="1">
      <c r="A58" t="inlineStr" s="20">
        <is>
          <t xml:space="preserve">Newt Page Checks &gt; Starter</t>
        </is>
      </c>
      <c r="B58" s="10">
        <f>0</f>
        <v>0</v>
      </c>
      <c r="C58" s="10">
        <f>'Model inputs'!C9*'Model inputs'!O16</f>
        <v>300</v>
      </c>
      <c r="D58" s="10">
        <f>'Model inputs'!D9*'Model inputs'!O16</f>
        <v>591</v>
      </c>
      <c r="E58" s="10">
        <f>'Model inputs'!E9*'Model inputs'!O16</f>
        <v>873.2700000000001</v>
      </c>
      <c r="F58" s="10">
        <f>'Model inputs'!F9*'Model inputs'!O16</f>
        <v>1147.0719000000001</v>
      </c>
      <c r="G58" s="10">
        <f>'Model inputs'!G9*'Model inputs'!O16</f>
        <v>1412.659743</v>
      </c>
      <c r="H58" s="10">
        <f>'Model inputs'!H9*'Model inputs'!O16</f>
        <v>1670.27995071</v>
      </c>
      <c r="I58" s="10">
        <f>'Model inputs'!I9*'Model inputs'!O16</f>
        <v>1920.1715521887</v>
      </c>
      <c r="J58" s="10">
        <f>'Model inputs'!J9*'Model inputs'!O16</f>
        <v>2162.566405623039</v>
      </c>
      <c r="K58" s="10">
        <f>'Model inputs'!K9*'Model inputs'!O16</f>
        <v>2397.6894134543477</v>
      </c>
      <c r="L58" s="10">
        <f>'Model inputs'!L9*'Model inputs'!O16</f>
        <v>2625.758731050717</v>
      </c>
      <c r="M58" s="10">
        <f>'Model inputs'!M9*'Model inputs'!O16</f>
        <v>2846.9859691191955</v>
      </c>
      <c r="N58" s="10">
        <f>'Model inputs'!N9*'Model inputs'!O16</f>
        <v>3061.5763900456195</v>
      </c>
    </row>
    <row r="59">
      <c r="A59" t="inlineStr" s="19">
        <is>
          <t xml:space="preserve">Newt Payment Fee Rate · Newt Cost per Customer</t>
        </is>
      </c>
      <c r="O59" s="10">
        <f>'Newt Inputs'!B9</f>
        <v>0.03</v>
      </c>
    </row>
    <row r="60">
      <c r="A60" t="inlineStr" s="19">
        <is>
          <t xml:space="preserve">Newt Payment Fee Rate · Newt 12-Month Forecast</t>
        </is>
      </c>
      <c r="P60" s="10">
        <f>'Newt Inputs'!B9</f>
        <v>0.03</v>
      </c>
    </row>
    <row r="61">
      <c r="A61" t="inlineStr" s="19">
        <is>
          <t xml:space="preserve">Newt Payment Fees</t>
        </is>
      </c>
      <c r="B61" s="9">
        <v>0</v>
      </c>
      <c r="C61" s="9">
        <f>'Model inputs'!C62*'Model inputs'!O59</f>
        <v>8.879999999999999</v>
      </c>
      <c r="D61" s="9">
        <f>'Model inputs'!D62*'Model inputs'!O59</f>
        <v>17.4936</v>
      </c>
      <c r="E61" s="9">
        <f>'Model inputs'!E62*'Model inputs'!O59</f>
        <v>25.848792000000003</v>
      </c>
      <c r="F61" s="9">
        <f>'Model inputs'!F62*'Model inputs'!O59</f>
        <v>33.95332824</v>
      </c>
      <c r="G61" s="9">
        <f>'Model inputs'!G62*'Model inputs'!O59</f>
        <v>41.81472839279999</v>
      </c>
      <c r="H61" s="9">
        <f>'Model inputs'!H62*'Model inputs'!O59</f>
        <v>49.44028654101599</v>
      </c>
      <c r="I61" s="9">
        <f>'Model inputs'!I62*'Model inputs'!O59</f>
        <v>56.83707794478551</v>
      </c>
      <c r="J61" s="9">
        <f>'Model inputs'!J62*'Model inputs'!O59</f>
        <v>64.01196560644193</v>
      </c>
      <c r="K61" s="9">
        <f>'Model inputs'!K62*'Model inputs'!O59</f>
        <v>70.97160663824869</v>
      </c>
      <c r="L61" s="9">
        <f>'Model inputs'!L62*'Model inputs'!O59</f>
        <v>77.72245843910122</v>
      </c>
      <c r="M61" s="9">
        <f>'Model inputs'!M62*'Model inputs'!O59</f>
        <v>84.27078468592818</v>
      </c>
      <c r="N61" s="9">
        <f>'Model inputs'!N62*'Model inputs'!O59</f>
        <v>90.62266114535034</v>
      </c>
    </row>
    <row r="62">
      <c r="A62" t="inlineStr" s="19">
        <is>
          <t xml:space="preserve">Newt Revenue</t>
        </is>
      </c>
      <c r="B62" s="6">
        <f>SUM('Model inputs'!B63,'Model inputs'!B64,'Model inputs'!B65)</f>
        <v>0</v>
      </c>
      <c r="C62" s="6">
        <f>SUM('Model inputs'!C63,'Model inputs'!C64,'Model inputs'!C65)</f>
        <v>296</v>
      </c>
      <c r="D62" s="6">
        <f>SUM('Model inputs'!D63,'Model inputs'!D64,'Model inputs'!D65)</f>
        <v>583.12</v>
      </c>
      <c r="E62" s="6">
        <f>SUM('Model inputs'!E63,'Model inputs'!E64,'Model inputs'!E65)</f>
        <v>861.6264000000001</v>
      </c>
      <c r="F62" s="6">
        <f>SUM('Model inputs'!F63,'Model inputs'!F64,'Model inputs'!F65)</f>
        <v>1131.7776079999999</v>
      </c>
      <c r="G62" s="6">
        <f>SUM('Model inputs'!G63,'Model inputs'!G64,'Model inputs'!G65)</f>
        <v>1393.8242797599999</v>
      </c>
      <c r="H62" s="6">
        <f>SUM('Model inputs'!H63,'Model inputs'!H64,'Model inputs'!H65)</f>
        <v>1648.0095513671997</v>
      </c>
      <c r="I62" s="6">
        <f>SUM('Model inputs'!I63,'Model inputs'!I64,'Model inputs'!I65)</f>
        <v>1894.5692648261838</v>
      </c>
      <c r="J62" s="6">
        <f>SUM('Model inputs'!J63,'Model inputs'!J64,'Model inputs'!J65)</f>
        <v>2133.732186881398</v>
      </c>
      <c r="K62" s="6">
        <f>SUM('Model inputs'!K63,'Model inputs'!K64,'Model inputs'!K65)</f>
        <v>2365.720221274956</v>
      </c>
      <c r="L62" s="6">
        <f>SUM('Model inputs'!L63,'Model inputs'!L64,'Model inputs'!L65)</f>
        <v>2590.7486146367073</v>
      </c>
      <c r="M62" s="6">
        <f>SUM('Model inputs'!M63,'Model inputs'!M64,'Model inputs'!M65)</f>
        <v>2809.026156197606</v>
      </c>
      <c r="N62" s="6">
        <f>SUM('Model inputs'!N63,'Model inputs'!N64,'Model inputs'!N65)</f>
        <v>3020.755371511678</v>
      </c>
    </row>
    <row r="63" outlineLevel="1">
      <c r="A63" t="inlineStr" s="20">
        <is>
          <t xml:space="preserve">Newt Revenue &gt; Growth</t>
        </is>
      </c>
      <c r="B63" s="9">
        <f>0</f>
        <v>0</v>
      </c>
      <c r="C63" s="9">
        <f>'Model inputs'!C7*('Model inputs'!O38+MAX(0,'Model inputs'!O14-'Model inputs'!O26)*'Model inputs'!P52)</f>
        <v>149</v>
      </c>
      <c r="D63" s="9">
        <f>'Model inputs'!D7*('Model inputs'!O38+MAX(0,'Model inputs'!O14-'Model inputs'!O26)*'Model inputs'!P52)</f>
        <v>293.53</v>
      </c>
      <c r="E63" s="9">
        <f>'Model inputs'!E7*('Model inputs'!O38+MAX(0,'Model inputs'!O14-'Model inputs'!O26)*'Model inputs'!P52)</f>
        <v>433.72409999999996</v>
      </c>
      <c r="F63" s="9">
        <f>'Model inputs'!F7*('Model inputs'!O38+MAX(0,'Model inputs'!O14-'Model inputs'!O26)*'Model inputs'!P52)</f>
        <v>569.712377</v>
      </c>
      <c r="G63" s="9">
        <f>'Model inputs'!G7*('Model inputs'!O38+MAX(0,'Model inputs'!O14-'Model inputs'!O26)*'Model inputs'!P52)</f>
        <v>701.6210056899998</v>
      </c>
      <c r="H63" s="9">
        <f>'Model inputs'!H7*('Model inputs'!O38+MAX(0,'Model inputs'!O14-'Model inputs'!O26)*'Model inputs'!P52)</f>
        <v>829.5723755192997</v>
      </c>
      <c r="I63" s="9">
        <f>'Model inputs'!I7*('Model inputs'!O38+MAX(0,'Model inputs'!O14-'Model inputs'!O26)*'Model inputs'!P52)</f>
        <v>953.6852042537208</v>
      </c>
      <c r="J63" s="9">
        <f>'Model inputs'!J7*('Model inputs'!O38+MAX(0,'Model inputs'!O14-'Model inputs'!O26)*'Model inputs'!P52)</f>
        <v>1074.0746481261092</v>
      </c>
      <c r="K63" s="9">
        <f>'Model inputs'!K7*('Model inputs'!O38+MAX(0,'Model inputs'!O14-'Model inputs'!O26)*'Model inputs'!P52)</f>
        <v>1190.8524086823259</v>
      </c>
      <c r="L63" s="9">
        <f>'Model inputs'!L7*('Model inputs'!O38+MAX(0,'Model inputs'!O14-'Model inputs'!O26)*'Model inputs'!P52)</f>
        <v>1304.126836421856</v>
      </c>
      <c r="M63" s="9">
        <f>'Model inputs'!M7*('Model inputs'!O38+MAX(0,'Model inputs'!O14-'Model inputs'!O26)*'Model inputs'!P52)</f>
        <v>1414.0030313292002</v>
      </c>
      <c r="N63" s="9">
        <f>'Model inputs'!N7*('Model inputs'!O38+MAX(0,'Model inputs'!O14-'Model inputs'!O26)*'Model inputs'!P52)</f>
        <v>1520.5829403893242</v>
      </c>
    </row>
    <row r="64" outlineLevel="1">
      <c r="A64" t="inlineStr" s="20">
        <is>
          <t xml:space="preserve">Newt Revenue &gt; Open source</t>
        </is>
      </c>
      <c r="B64" s="9">
        <f>0</f>
        <v>0</v>
      </c>
      <c r="C64" s="9">
        <f>'Model inputs'!C8*('Model inputs'!O39+MAX(0,'Model inputs'!O15-'Model inputs'!O27)*'Model inputs'!P53)</f>
        <v>0</v>
      </c>
      <c r="D64" s="9">
        <f>'Model inputs'!D8*('Model inputs'!O39+MAX(0,'Model inputs'!O15-'Model inputs'!O27)*'Model inputs'!P53)</f>
        <v>0</v>
      </c>
      <c r="E64" s="9">
        <f>'Model inputs'!E8*('Model inputs'!O39+MAX(0,'Model inputs'!O15-'Model inputs'!O27)*'Model inputs'!P53)</f>
        <v>0</v>
      </c>
      <c r="F64" s="9">
        <f>'Model inputs'!F8*('Model inputs'!O39+MAX(0,'Model inputs'!O15-'Model inputs'!O27)*'Model inputs'!P53)</f>
        <v>0</v>
      </c>
      <c r="G64" s="9">
        <f>'Model inputs'!G8*('Model inputs'!O39+MAX(0,'Model inputs'!O15-'Model inputs'!O27)*'Model inputs'!P53)</f>
        <v>0</v>
      </c>
      <c r="H64" s="9">
        <f>'Model inputs'!H8*('Model inputs'!O39+MAX(0,'Model inputs'!O15-'Model inputs'!O27)*'Model inputs'!P53)</f>
        <v>0</v>
      </c>
      <c r="I64" s="9">
        <f>'Model inputs'!I8*('Model inputs'!O39+MAX(0,'Model inputs'!O15-'Model inputs'!O27)*'Model inputs'!P53)</f>
        <v>0</v>
      </c>
      <c r="J64" s="9">
        <f>'Model inputs'!J8*('Model inputs'!O39+MAX(0,'Model inputs'!O15-'Model inputs'!O27)*'Model inputs'!P53)</f>
        <v>0</v>
      </c>
      <c r="K64" s="9">
        <f>'Model inputs'!K8*('Model inputs'!O39+MAX(0,'Model inputs'!O15-'Model inputs'!O27)*'Model inputs'!P53)</f>
        <v>0</v>
      </c>
      <c r="L64" s="9">
        <f>'Model inputs'!L8*('Model inputs'!O39+MAX(0,'Model inputs'!O15-'Model inputs'!O27)*'Model inputs'!P53)</f>
        <v>0</v>
      </c>
      <c r="M64" s="9">
        <f>'Model inputs'!M8*('Model inputs'!O39+MAX(0,'Model inputs'!O15-'Model inputs'!O27)*'Model inputs'!P53)</f>
        <v>0</v>
      </c>
      <c r="N64" s="9">
        <f>'Model inputs'!N8*('Model inputs'!O39+MAX(0,'Model inputs'!O15-'Model inputs'!O27)*'Model inputs'!P53)</f>
        <v>0</v>
      </c>
    </row>
    <row r="65" outlineLevel="1">
      <c r="A65" t="inlineStr" s="20">
        <is>
          <t xml:space="preserve">Newt Revenue &gt; Starter</t>
        </is>
      </c>
      <c r="B65" s="9">
        <f>0</f>
        <v>0</v>
      </c>
      <c r="C65" s="9">
        <f>'Model inputs'!C9*('Model inputs'!O40+MAX(0,'Model inputs'!O16-'Model inputs'!O28)*'Model inputs'!P54)</f>
        <v>147</v>
      </c>
      <c r="D65" s="9">
        <f>'Model inputs'!D9*('Model inputs'!O40+MAX(0,'Model inputs'!O16-'Model inputs'!O28)*'Model inputs'!P54)</f>
        <v>289.59000000000003</v>
      </c>
      <c r="E65" s="9">
        <f>'Model inputs'!E9*('Model inputs'!O40+MAX(0,'Model inputs'!O16-'Model inputs'!O28)*'Model inputs'!P54)</f>
        <v>427.9023000000001</v>
      </c>
      <c r="F65" s="9">
        <f>'Model inputs'!F9*('Model inputs'!O40+MAX(0,'Model inputs'!O16-'Model inputs'!O28)*'Model inputs'!P54)</f>
        <v>562.065231</v>
      </c>
      <c r="G65" s="9">
        <f>'Model inputs'!G9*('Model inputs'!O40+MAX(0,'Model inputs'!O16-'Model inputs'!O28)*'Model inputs'!P54)</f>
        <v>692.20327407</v>
      </c>
      <c r="H65" s="9">
        <f>'Model inputs'!H9*('Model inputs'!O40+MAX(0,'Model inputs'!O16-'Model inputs'!O28)*'Model inputs'!P54)</f>
        <v>818.4371758479</v>
      </c>
      <c r="I65" s="9">
        <f>'Model inputs'!I9*('Model inputs'!O40+MAX(0,'Model inputs'!O16-'Model inputs'!O28)*'Model inputs'!P54)</f>
        <v>940.884060572463</v>
      </c>
      <c r="J65" s="9">
        <f>'Model inputs'!J9*('Model inputs'!O40+MAX(0,'Model inputs'!O16-'Model inputs'!O28)*'Model inputs'!P54)</f>
        <v>1059.657538755289</v>
      </c>
      <c r="K65" s="9">
        <f>'Model inputs'!K9*('Model inputs'!O40+MAX(0,'Model inputs'!O16-'Model inputs'!O28)*'Model inputs'!P54)</f>
        <v>1174.8678125926303</v>
      </c>
      <c r="L65" s="9">
        <f>'Model inputs'!L9*('Model inputs'!O40+MAX(0,'Model inputs'!O16-'Model inputs'!O28)*'Model inputs'!P54)</f>
        <v>1286.6217782148512</v>
      </c>
      <c r="M65" s="9">
        <f>'Model inputs'!M9*('Model inputs'!O40+MAX(0,'Model inputs'!O16-'Model inputs'!O28)*'Model inputs'!P54)</f>
        <v>1395.0231248684056</v>
      </c>
      <c r="N65" s="9">
        <f>'Model inputs'!N9*('Model inputs'!O40+MAX(0,'Model inputs'!O16-'Model inputs'!O28)*'Model inputs'!P54)</f>
        <v>1500.1724311223536</v>
      </c>
    </row>
    <row r="66">
      <c r="A66" t="inlineStr" s="19">
        <is>
          <t xml:space="preserve">Newt Testing Cost</t>
        </is>
      </c>
      <c r="B66" s="9">
        <v>0</v>
      </c>
      <c r="C66" s="9">
        <f>'Model inputs'!C55*'Model inputs'!O21</f>
        <v>85</v>
      </c>
      <c r="D66" s="9">
        <f>'Model inputs'!D55*'Model inputs'!O21</f>
        <v>167.9</v>
      </c>
      <c r="E66" s="9">
        <f>'Model inputs'!E55*'Model inputs'!O21</f>
        <v>248.76300000000003</v>
      </c>
      <c r="F66" s="9">
        <f>'Model inputs'!F55*'Model inputs'!O21</f>
        <v>327.65011000000004</v>
      </c>
      <c r="G66" s="9">
        <f>'Model inputs'!G55*'Model inputs'!O21</f>
        <v>404.62060669999994</v>
      </c>
      <c r="H66" s="9">
        <f>'Model inputs'!H55*'Model inputs'!O21</f>
        <v>479.73198849899995</v>
      </c>
      <c r="I66" s="9">
        <f>'Model inputs'!I55*'Model inputs'!O21</f>
        <v>553.04002884403</v>
      </c>
      <c r="J66" s="9">
        <f>'Model inputs'!J55*'Model inputs'!O21</f>
        <v>624.5988279787091</v>
      </c>
      <c r="K66" s="9">
        <f>'Model inputs'!K55*'Model inputs'!O21</f>
        <v>694.4608631393478</v>
      </c>
      <c r="L66" s="9">
        <f>'Model inputs'!L55*'Model inputs'!O21</f>
        <v>762.6770372451673</v>
      </c>
      <c r="M66" s="9">
        <f>'Model inputs'!M55*'Model inputs'!O21</f>
        <v>829.2967261278122</v>
      </c>
      <c r="N66" s="9">
        <f>'Model inputs'!N55*'Model inputs'!O21</f>
        <v>894.367824343978</v>
      </c>
    </row>
    <row r="67">
      <c r="A67" t="inlineStr" s="19">
        <is>
          <t xml:space="preserve">Newt Computer Cost per Hour · Newt Inputs</t>
        </is>
      </c>
      <c r="O67" s="10">
        <f>'Newt Inputs'!B15</f>
        <v>0.12</v>
      </c>
    </row>
    <row r="68">
      <c r="A68" t="inlineStr" s="19">
        <is>
          <t xml:space="preserve">Newt Input Price per Million · Newt Inputs</t>
        </is>
      </c>
      <c r="O68" s="10">
        <f>'Newt Inputs'!B12</f>
        <v>3</v>
      </c>
    </row>
    <row r="69">
      <c r="A69" t="inlineStr" s="19">
        <is>
          <t xml:space="preserve">Newt Input Tokens per Check · Newt Inputs</t>
        </is>
      </c>
      <c r="O69" s="10">
        <f>'Newt Inputs'!B10</f>
        <v>10000</v>
      </c>
    </row>
    <row r="70">
      <c r="A70" t="inlineStr" s="19">
        <is>
          <t xml:space="preserve">Newt Output Price per Million · Newt Inputs</t>
        </is>
      </c>
      <c r="O70" s="10">
        <f>'Newt Inputs'!B13</f>
        <v>15</v>
      </c>
    </row>
    <row r="71">
      <c r="A71" t="inlineStr" s="19">
        <is>
          <t xml:space="preserve">Newt Output Tokens per Check · Newt Inputs</t>
        </is>
      </c>
      <c r="O71" s="10">
        <f>'Newt Inputs'!B11</f>
        <v>2000</v>
      </c>
    </row>
    <row r="72">
      <c r="A72" t="inlineStr" s="19">
        <is>
          <t xml:space="preserve">Newt Retry and Log Allowance · Newt Inputs</t>
        </is>
      </c>
      <c r="O72" s="10">
        <f>'Newt Inputs'!B16</f>
        <v>0.039</v>
      </c>
    </row>
    <row r="73">
      <c r="A73" t="inlineStr" s="19">
        <is>
          <t xml:space="preserve">Newt Seconds per Check · Newt Inputs</t>
        </is>
      </c>
      <c r="O73" s="10">
        <f>'Newt Inputs'!B14</f>
        <v>30</v>
      </c>
    </row>
    <row r="74">
      <c r="A74" t="inlineStr" s="19">
        <is>
          <t xml:space="preserve">Newt Opening Cash · Newt Cash Balance</t>
        </is>
      </c>
      <c r="P74" s="10">
        <f>'Newt Inputs'!B5</f>
        <v>5000</v>
      </c>
    </row>
    <row r="75">
      <c r="A75" t="inlineStr" s="19">
        <is>
          <t xml:space="preserve">Newt Computer Cost per Hour · Newt Cost per Check · Newt 12-Month Forecast</t>
        </is>
      </c>
      <c r="P75" s="10">
        <f>'Newt Inputs'!B15</f>
        <v>0.12</v>
      </c>
    </row>
    <row r="76">
      <c r="A76" t="inlineStr" s="19">
        <is>
          <t xml:space="preserve">Newt Input Price per Million · Newt Cost per Check · Newt 12-Month Forecast</t>
        </is>
      </c>
      <c r="P76" s="10">
        <f>'Newt Inputs'!B12</f>
        <v>3</v>
      </c>
    </row>
    <row r="77">
      <c r="A77" t="inlineStr" s="19">
        <is>
          <t xml:space="preserve">Newt Input Tokens per Check · Newt Cost per Check · Newt 12-Month Forecast</t>
        </is>
      </c>
      <c r="P77" s="10">
        <f>'Newt Inputs'!B10</f>
        <v>10000</v>
      </c>
    </row>
    <row r="78">
      <c r="A78" t="inlineStr" s="19">
        <is>
          <t xml:space="preserve">Newt Output Price per Million · Newt Cost per Check · Newt 12-Month Forecast</t>
        </is>
      </c>
      <c r="P78" s="10">
        <f>'Newt Inputs'!B13</f>
        <v>15</v>
      </c>
    </row>
    <row r="79">
      <c r="A79" t="inlineStr" s="19">
        <is>
          <t xml:space="preserve">Newt Output Tokens per Check · Newt Cost per Check · Newt 12-Month Forecast</t>
        </is>
      </c>
      <c r="P79" s="10">
        <f>'Newt Inputs'!B11</f>
        <v>2000</v>
      </c>
    </row>
    <row r="80">
      <c r="A80" t="inlineStr" s="19">
        <is>
          <t xml:space="preserve">Newt Retry and Log Allowance · Newt Cost per Check · Newt 12-Month Forecast</t>
        </is>
      </c>
      <c r="P80" s="10">
        <f>'Newt Inputs'!B16</f>
        <v>0.039</v>
      </c>
    </row>
    <row r="81">
      <c r="A81" t="inlineStr" s="19">
        <is>
          <t xml:space="preserve">Newt Seconds per Check · Newt Cost per Check · Newt 12-Month Forecast</t>
        </is>
      </c>
      <c r="P81" s="10">
        <f>'Newt Inputs'!B14</f>
        <v>30</v>
      </c>
    </row>
    <row r="83">
      <c r="A83" t="inlineStr" s="18">
        <is>
          <t xml:space="preserve">Dimensions</t>
        </is>
      </c>
    </row>
    <row r="84">
      <c r="A84" t="inlineStr" s="19">
        <is>
          <t xml:space="preserve">Newt Plan</t>
        </is>
      </c>
      <c r="B84" t="inlineStr" s="22">
        <is>
          <t xml:space="preserve">Growth</t>
        </is>
      </c>
      <c r="C84" t="inlineStr" s="22">
        <is>
          <t xml:space="preserve">Open source</t>
        </is>
      </c>
      <c r="D84" t="inlineStr" s="22">
        <is>
          <t xml:space="preserve">Starter</t>
        </is>
      </c>
    </row>
  </sheetData>
  <mergeCells count="2">
    <mergeCell ref="A1:P1"/>
    <mergeCell ref="A2:P2"/>
  </mergeCells>
</worksheet>
</file>